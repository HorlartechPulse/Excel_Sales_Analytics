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orlarTech_Pulse\Desktop\Data Analytics\Excel_Sales_Analytics\"/>
    </mc:Choice>
  </mc:AlternateContent>
  <xr:revisionPtr revIDLastSave="0" documentId="13_ncr:1_{80B7E5D6-68F0-43F3-BA3A-140CC422FA3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00_Case_Overview" sheetId="1" r:id="rId1"/>
    <sheet name="Interactive_Dashboard" sheetId="2" r:id="rId2"/>
    <sheet name="09_Dashboard" sheetId="3" r:id="rId3"/>
    <sheet name="02_Clean_Data" sheetId="4" r:id="rId4"/>
    <sheet name="01_Raw_Data" sheetId="5" r:id="rId5"/>
    <sheet name="03_Data_Dictionary" sheetId="6" r:id="rId6"/>
    <sheet name="04_PowerQuery_Steps" sheetId="7" r:id="rId7"/>
    <sheet name="05_Monthly_Revenue" sheetId="8" r:id="rId8"/>
    <sheet name="06_Regional_Perf" sheetId="9" r:id="rId9"/>
    <sheet name="07_Sales_by_Rep" sheetId="10" r:id="rId10"/>
    <sheet name="08_Top_Customers" sheetId="11" r:id="rId11"/>
    <sheet name="10_Insights" sheetId="12" r:id="rId12"/>
    <sheet name="FilterLists" sheetId="13" state="hidden" r:id="rId13"/>
  </sheets>
  <definedNames>
    <definedName name="_xlnm._FilterDatabase" localSheetId="4" hidden="1">'01_Raw_Data'!$A$2:$L$422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" i="2" l="1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E31" i="2"/>
  <c r="D31" i="2"/>
  <c r="C31" i="2"/>
  <c r="E30" i="2"/>
  <c r="D30" i="2"/>
  <c r="C30" i="2"/>
  <c r="E29" i="2"/>
  <c r="D29" i="2"/>
  <c r="C29" i="2"/>
  <c r="E28" i="2"/>
  <c r="D28" i="2"/>
  <c r="C28" i="2"/>
  <c r="E27" i="2"/>
  <c r="D27" i="2"/>
  <c r="C27" i="2"/>
  <c r="E26" i="2"/>
  <c r="D26" i="2"/>
  <c r="C26" i="2"/>
  <c r="E25" i="2"/>
  <c r="D25" i="2"/>
  <c r="C25" i="2"/>
  <c r="E24" i="2"/>
  <c r="D24" i="2"/>
  <c r="C24" i="2"/>
  <c r="E19" i="2"/>
  <c r="D19" i="2"/>
  <c r="C19" i="2"/>
  <c r="I18" i="2"/>
  <c r="H18" i="2"/>
  <c r="E18" i="2"/>
  <c r="D18" i="2"/>
  <c r="C18" i="2"/>
  <c r="I17" i="2"/>
  <c r="H17" i="2"/>
  <c r="E17" i="2"/>
  <c r="D17" i="2"/>
  <c r="C17" i="2"/>
  <c r="I16" i="2"/>
  <c r="H16" i="2"/>
  <c r="E16" i="2"/>
  <c r="D16" i="2"/>
  <c r="C16" i="2"/>
  <c r="C12" i="2"/>
  <c r="H10" i="2"/>
  <c r="D10" i="2"/>
  <c r="B10" i="2"/>
  <c r="F10" i="2" s="1"/>
  <c r="J10" i="2" l="1"/>
</calcChain>
</file>

<file path=xl/sharedStrings.xml><?xml version="1.0" encoding="utf-8"?>
<sst xmlns="http://schemas.openxmlformats.org/spreadsheetml/2006/main" count="6357" uniqueCount="693">
  <si>
    <t>Case study deliverables: data cleaning, PivotTables, dashboard, and business recommendations</t>
  </si>
  <si>
    <t>Project scope</t>
  </si>
  <si>
    <t>Objective</t>
  </si>
  <si>
    <t>Analyze 2014 retail sales performance by month, region, salesperson, and customer.</t>
  </si>
  <si>
    <t>Tools</t>
  </si>
  <si>
    <t>Microsoft Excel · Power Query (documented) · PivotTables · Charts · Dashboard</t>
  </si>
  <si>
    <t>Source period</t>
  </si>
  <si>
    <t>January 2014 – December 2014</t>
  </si>
  <si>
    <t>Currency</t>
  </si>
  <si>
    <t>USD</t>
  </si>
  <si>
    <t>Workbook structure</t>
  </si>
  <si>
    <t>See sheet list below</t>
  </si>
  <si>
    <t>Workbook map</t>
  </si>
  <si>
    <t>Sheet</t>
  </si>
  <si>
    <t>Description</t>
  </si>
  <si>
    <t>01_Raw_Data</t>
  </si>
  <si>
    <t>Intentionally messy extract (inconsistent region/customer casing, trailing spaces)</t>
  </si>
  <si>
    <t>02_Clean_Data</t>
  </si>
  <si>
    <t>Cleaned fact table ready for PivotTables (normalized text, typed dates, measures)</t>
  </si>
  <si>
    <t>03_Data_Dictionary</t>
  </si>
  <si>
    <t>Field definitions and cleaning rules</t>
  </si>
  <si>
    <t>04_PowerQuery_Steps</t>
  </si>
  <si>
    <t>Documented Power Query transformation steps to reproduce cleaning</t>
  </si>
  <si>
    <t>05_Monthly_Revenue</t>
  </si>
  <si>
    <t>Monthly revenue, profit, margin, order counts</t>
  </si>
  <si>
    <t>06_Regional_Perf</t>
  </si>
  <si>
    <t>Regional performance summary</t>
  </si>
  <si>
    <t>07_Sales_by_Rep</t>
  </si>
  <si>
    <t>Salesperson leaderboard</t>
  </si>
  <si>
    <t>Interactive features</t>
  </si>
  <si>
    <t>Interactive_Dashboard sheet: dropdown slicers for Region, Salesperson, Category, Month + live KPIs</t>
  </si>
  <si>
    <t>09_Dashboard</t>
  </si>
  <si>
    <t>Excel Table SalesData + Slicer_Setup_Guide for classic PivotTable slicers</t>
  </si>
  <si>
    <t>10_Insights</t>
  </si>
  <si>
    <t>Business insights and recommended actions</t>
  </si>
  <si>
    <t>INTERACTIVE SLICERS</t>
  </si>
  <si>
    <t>Region</t>
  </si>
  <si>
    <t>Salesperson</t>
  </si>
  <si>
    <t>Category</t>
  </si>
  <si>
    <t>Month</t>
  </si>
  <si>
    <t>Reset tip</t>
  </si>
  <si>
    <t>(All)</t>
  </si>
  <si>
    <t>Set all to (All)</t>
  </si>
  <si>
    <t>Total Revenue</t>
  </si>
  <si>
    <t>Total Profit</t>
  </si>
  <si>
    <t>Profit Margin</t>
  </si>
  <si>
    <t>Orders</t>
  </si>
  <si>
    <t>Avg Order Value</t>
  </si>
  <si>
    <t>Active filters:</t>
  </si>
  <si>
    <t>Revenue by Region (filtered)</t>
  </si>
  <si>
    <t>Revenue by Category (filtered)</t>
  </si>
  <si>
    <t>Revenue</t>
  </si>
  <si>
    <t>Profit</t>
  </si>
  <si>
    <t>East</t>
  </si>
  <si>
    <t>Electronics</t>
  </si>
  <si>
    <t>North</t>
  </si>
  <si>
    <t>Furniture</t>
  </si>
  <si>
    <t>South</t>
  </si>
  <si>
    <t>Supplies</t>
  </si>
  <si>
    <t>West</t>
  </si>
  <si>
    <t>Revenue by Salesperson (filtered)</t>
  </si>
  <si>
    <t>Andrew Cencini</t>
  </si>
  <si>
    <t>Anne Larsen</t>
  </si>
  <si>
    <t>Jan Kotas</t>
  </si>
  <si>
    <t>Laura Giussani</t>
  </si>
  <si>
    <t>Mariya Sergienko</t>
  </si>
  <si>
    <t>Michael Neipper</t>
  </si>
  <si>
    <t>Nancy Freehafer</t>
  </si>
  <si>
    <t>Robert Zare</t>
  </si>
  <si>
    <t>Monthly Revenue (filtered)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</si>
  <si>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</si>
  <si>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</si>
  <si>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</si>
  <si>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</si>
  <si>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</si>
  <si>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</si>
  <si>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</si>
  <si>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</si>
  <si>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</si>
  <si>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</si>
  <si>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</si>
  <si>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</si>
  <si>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Dashboard</t>
  </si>
  <si>
    <t>Customer</t>
  </si>
  <si>
    <t>Bucket</t>
  </si>
  <si>
    <t>Count</t>
  </si>
  <si>
    <t>Retail sales performance · Calendar year 2014 · Values in USD</t>
  </si>
  <si>
    <t>Company E</t>
  </si>
  <si>
    <t>0-1000</t>
  </si>
  <si>
    <t>Company A</t>
  </si>
  <si>
    <t>1000-2000</t>
  </si>
  <si>
    <t>Company P</t>
  </si>
  <si>
    <t>2000-3000</t>
  </si>
  <si>
    <t>$130,054</t>
  </si>
  <si>
    <t>$70,267</t>
  </si>
  <si>
    <t>54.0%</t>
  </si>
  <si>
    <t>420</t>
  </si>
  <si>
    <t>$310</t>
  </si>
  <si>
    <t>Company M</t>
  </si>
  <si>
    <t>3000-4000</t>
  </si>
  <si>
    <t>Company K</t>
  </si>
  <si>
    <t>&gt;4000</t>
  </si>
  <si>
    <t>Region list</t>
  </si>
  <si>
    <t>Salesperson list</t>
  </si>
  <si>
    <t>InvoiceID</t>
  </si>
  <si>
    <t>OrderDate</t>
  </si>
  <si>
    <t>Product</t>
  </si>
  <si>
    <t>Quantity</t>
  </si>
  <si>
    <t>UnitPrice</t>
  </si>
  <si>
    <t>Cost</t>
  </si>
  <si>
    <t>Year</t>
  </si>
  <si>
    <t>MonthName</t>
  </si>
  <si>
    <t>OrderBucket</t>
  </si>
  <si>
    <t>INV-10013</t>
  </si>
  <si>
    <t>Company T</t>
  </si>
  <si>
    <t>Standing Desk</t>
  </si>
  <si>
    <t>INV-10333</t>
  </si>
  <si>
    <t>Company H</t>
  </si>
  <si>
    <t>Wireless Mouse</t>
  </si>
  <si>
    <t>INV-10047</t>
  </si>
  <si>
    <t>INV-10261</t>
  </si>
  <si>
    <t>INV-10128</t>
  </si>
  <si>
    <t>INV-10354</t>
  </si>
  <si>
    <t>Webcam HD</t>
  </si>
  <si>
    <t>INV-10266</t>
  </si>
  <si>
    <t>File Cabinet</t>
  </si>
  <si>
    <t>INV-10416</t>
  </si>
  <si>
    <t>INV-10131</t>
  </si>
  <si>
    <t>Keyboard Mechanical</t>
  </si>
  <si>
    <t>INV-10319</t>
  </si>
  <si>
    <t>INV-10115</t>
  </si>
  <si>
    <t>Company W</t>
  </si>
  <si>
    <t>Desk Lamp LED</t>
  </si>
  <si>
    <t>INV-10241</t>
  </si>
  <si>
    <t>Company G</t>
  </si>
  <si>
    <t>INV-10002</t>
  </si>
  <si>
    <t>INV-10191</t>
  </si>
  <si>
    <t>Monitor 27in</t>
  </si>
  <si>
    <t>INV-10217</t>
  </si>
  <si>
    <t>Company R</t>
  </si>
  <si>
    <t>Office Chair Pro</t>
  </si>
  <si>
    <t>INV-10093</t>
  </si>
  <si>
    <t>Notebook Pack</t>
  </si>
  <si>
    <t>INV-10369</t>
  </si>
  <si>
    <t>Company BB</t>
  </si>
  <si>
    <t>INV-10041</t>
  </si>
  <si>
    <t>Company C</t>
  </si>
  <si>
    <t>INV-10070</t>
  </si>
  <si>
    <t>INV-10299</t>
  </si>
  <si>
    <t>INV-10011</t>
  </si>
  <si>
    <t>Company F</t>
  </si>
  <si>
    <t>INV-10370</t>
  </si>
  <si>
    <t>INV-10344</t>
  </si>
  <si>
    <t>Company Y</t>
  </si>
  <si>
    <t>INV-10032</t>
  </si>
  <si>
    <t>INV-10280</t>
  </si>
  <si>
    <t>USB-C Hub</t>
  </si>
  <si>
    <t>INV-10136</t>
  </si>
  <si>
    <t>INV-10218</t>
  </si>
  <si>
    <t>INV-10222</t>
  </si>
  <si>
    <t>INV-10074</t>
  </si>
  <si>
    <t>INV-10273</t>
  </si>
  <si>
    <t>INV-10379</t>
  </si>
  <si>
    <t>INV-10119</t>
  </si>
  <si>
    <t>Company D</t>
  </si>
  <si>
    <t>INV-10405</t>
  </si>
  <si>
    <t>INV-10016</t>
  </si>
  <si>
    <t>INV-10212</t>
  </si>
  <si>
    <t>INV-10361</t>
  </si>
  <si>
    <t>INV-10411</t>
  </si>
  <si>
    <t>INV-10046</t>
  </si>
  <si>
    <t>INV-10289</t>
  </si>
  <si>
    <t>INV-10311</t>
  </si>
  <si>
    <t>INV-10402</t>
  </si>
  <si>
    <t>INV-10247</t>
  </si>
  <si>
    <t>INV-10006</t>
  </si>
  <si>
    <t>INV-10026</t>
  </si>
  <si>
    <t>INV-10027</t>
  </si>
  <si>
    <t>INV-10057</t>
  </si>
  <si>
    <t>INV-10092</t>
  </si>
  <si>
    <t>INV-10235</t>
  </si>
  <si>
    <t>INV-10142</t>
  </si>
  <si>
    <t>INV-10257</t>
  </si>
  <si>
    <t>INV-10336</t>
  </si>
  <si>
    <t>INV-10199</t>
  </si>
  <si>
    <t>INV-10364</t>
  </si>
  <si>
    <t>INV-10110</t>
  </si>
  <si>
    <t>INV-10137</t>
  </si>
  <si>
    <t>INV-10004</t>
  </si>
  <si>
    <t>INV-10101</t>
  </si>
  <si>
    <t>INV-10258</t>
  </si>
  <si>
    <t>INV-10409</t>
  </si>
  <si>
    <t>INV-10094</t>
  </si>
  <si>
    <t>INV-10342</t>
  </si>
  <si>
    <t>INV-10375</t>
  </si>
  <si>
    <t>INV-10157</t>
  </si>
  <si>
    <t>INV-10197</t>
  </si>
  <si>
    <t>INV-10259</t>
  </si>
  <si>
    <t>INV-10189</t>
  </si>
  <si>
    <t>INV-10015</t>
  </si>
  <si>
    <t>INV-10202</t>
  </si>
  <si>
    <t>INV-10216</t>
  </si>
  <si>
    <t>INV-10085</t>
  </si>
  <si>
    <t>INV-10127</t>
  </si>
  <si>
    <t>INV-10262</t>
  </si>
  <si>
    <t>INV-10264</t>
  </si>
  <si>
    <t>INV-10385</t>
  </si>
  <si>
    <t>INV-10048</t>
  </si>
  <si>
    <t>INV-10195</t>
  </si>
  <si>
    <t>INV-10129</t>
  </si>
  <si>
    <t>INV-10028</t>
  </si>
  <si>
    <t>INV-10352</t>
  </si>
  <si>
    <t>INV-10283</t>
  </si>
  <si>
    <t>INV-10168</t>
  </si>
  <si>
    <t>INV-10166</t>
  </si>
  <si>
    <t>INV-10362</t>
  </si>
  <si>
    <t>INV-10204</t>
  </si>
  <si>
    <t>INV-10285</t>
  </si>
  <si>
    <t>INV-10303</t>
  </si>
  <si>
    <t>INV-10112</t>
  </si>
  <si>
    <t>INV-10397</t>
  </si>
  <si>
    <t>INV-10221</t>
  </si>
  <si>
    <t>INV-10297</t>
  </si>
  <si>
    <t>INV-10138</t>
  </si>
  <si>
    <t>INV-10126</t>
  </si>
  <si>
    <t>INV-10383</t>
  </si>
  <si>
    <t>INV-10317</t>
  </si>
  <si>
    <t>INV-10347</t>
  </si>
  <si>
    <t>INV-10081</t>
  </si>
  <si>
    <t>INV-10174</t>
  </si>
  <si>
    <t>INV-10036</t>
  </si>
  <si>
    <t>INV-10146</t>
  </si>
  <si>
    <t>INV-10271</t>
  </si>
  <si>
    <t>INV-10267</t>
  </si>
  <si>
    <t>INV-10294</t>
  </si>
  <si>
    <t>INV-10328</t>
  </si>
  <si>
    <t>INV-10343</t>
  </si>
  <si>
    <t>INV-10043</t>
  </si>
  <si>
    <t>INV-10102</t>
  </si>
  <si>
    <t>INV-10220</t>
  </si>
  <si>
    <t>INV-10293</t>
  </si>
  <si>
    <t>INV-10324</t>
  </si>
  <si>
    <t>INV-10363</t>
  </si>
  <si>
    <t>INV-10392</t>
  </si>
  <si>
    <t>INV-10124</t>
  </si>
  <si>
    <t>INV-10162</t>
  </si>
  <si>
    <t>INV-10230</t>
  </si>
  <si>
    <t>INV-10155</t>
  </si>
  <si>
    <t>INV-10161</t>
  </si>
  <si>
    <t>INV-10203</t>
  </si>
  <si>
    <t>INV-10014</t>
  </si>
  <si>
    <t>INV-10134</t>
  </si>
  <si>
    <t>INV-10058</t>
  </si>
  <si>
    <t>INV-10348</t>
  </si>
  <si>
    <t>INV-10321</t>
  </si>
  <si>
    <t>INV-10179</t>
  </si>
  <si>
    <t>INV-10291</t>
  </si>
  <si>
    <t>INV-10052</t>
  </si>
  <si>
    <t>INV-10327</t>
  </si>
  <si>
    <t>INV-10313</t>
  </si>
  <si>
    <t>INV-10406</t>
  </si>
  <si>
    <t>INV-10310</t>
  </si>
  <si>
    <t>INV-10351</t>
  </si>
  <si>
    <t>INV-10388</t>
  </si>
  <si>
    <t>INV-10384</t>
  </si>
  <si>
    <t>INV-10399</t>
  </si>
  <si>
    <t>INV-10401</t>
  </si>
  <si>
    <t>INV-10190</t>
  </si>
  <si>
    <t>INV-10100</t>
  </si>
  <si>
    <t>INV-10231</t>
  </si>
  <si>
    <t>INV-10076</t>
  </si>
  <si>
    <t>INV-10107</t>
  </si>
  <si>
    <t>INV-10023</t>
  </si>
  <si>
    <t>INV-10326</t>
  </si>
  <si>
    <t>INV-10147</t>
  </si>
  <si>
    <t>INV-10287</t>
  </si>
  <si>
    <t>INV-10292</t>
  </si>
  <si>
    <t>INV-10239</t>
  </si>
  <si>
    <t>INV-10064</t>
  </si>
  <si>
    <t>INV-10250</t>
  </si>
  <si>
    <t>INV-10407</t>
  </si>
  <si>
    <t>INV-10022</t>
  </si>
  <si>
    <t>INV-10037</t>
  </si>
  <si>
    <t>INV-10068</t>
  </si>
  <si>
    <t>INV-10079</t>
  </si>
  <si>
    <t>INV-10082</t>
  </si>
  <si>
    <t>INV-10403</t>
  </si>
  <si>
    <t>INV-10065</t>
  </si>
  <si>
    <t>INV-10359</t>
  </si>
  <si>
    <t>INV-10412</t>
  </si>
  <si>
    <t>INV-10056</t>
  </si>
  <si>
    <t>INV-10040</t>
  </si>
  <si>
    <t>INV-10077</t>
  </si>
  <si>
    <t>INV-10316</t>
  </si>
  <si>
    <t>INV-10054</t>
  </si>
  <si>
    <t>INV-10099</t>
  </si>
  <si>
    <t>INV-10069</t>
  </si>
  <si>
    <t>INV-10039</t>
  </si>
  <si>
    <t>INV-10080</t>
  </si>
  <si>
    <t>INV-10275</t>
  </si>
  <si>
    <t>INV-10148</t>
  </si>
  <si>
    <t>INV-10201</t>
  </si>
  <si>
    <t>INV-10277</t>
  </si>
  <si>
    <t>INV-10152</t>
  </si>
  <si>
    <t>INV-10121</t>
  </si>
  <si>
    <t>INV-10300</t>
  </si>
  <si>
    <t>INV-10103</t>
  </si>
  <si>
    <t>INV-10194</t>
  </si>
  <si>
    <t>INV-10215</t>
  </si>
  <si>
    <t>INV-10042</t>
  </si>
  <si>
    <t>INV-10188</t>
  </si>
  <si>
    <t>INV-10394</t>
  </si>
  <si>
    <t>INV-10371</t>
  </si>
  <si>
    <t>INV-10414</t>
  </si>
  <si>
    <t>INV-10078</t>
  </si>
  <si>
    <t>INV-10307</t>
  </si>
  <si>
    <t>INV-10334</t>
  </si>
  <si>
    <t>INV-10159</t>
  </si>
  <si>
    <t>INV-10320</t>
  </si>
  <si>
    <t>INV-10238</t>
  </si>
  <si>
    <t>INV-10305</t>
  </si>
  <si>
    <t>INV-10288</t>
  </si>
  <si>
    <t>INV-10051</t>
  </si>
  <si>
    <t>INV-10227</t>
  </si>
  <si>
    <t>INV-10116</t>
  </si>
  <si>
    <t>INV-10219</t>
  </si>
  <si>
    <t>INV-10249</t>
  </si>
  <si>
    <t>INV-10355</t>
  </si>
  <si>
    <t>INV-10308</t>
  </si>
  <si>
    <t>INV-10377</t>
  </si>
  <si>
    <t>INV-10255</t>
  </si>
  <si>
    <t>INV-10360</t>
  </si>
  <si>
    <t>INV-10141</t>
  </si>
  <si>
    <t>INV-10248</t>
  </si>
  <si>
    <t>INV-10140</t>
  </si>
  <si>
    <t>INV-10302</t>
  </si>
  <si>
    <t>INV-10229</t>
  </si>
  <si>
    <t>INV-10390</t>
  </si>
  <si>
    <t>INV-10350</t>
  </si>
  <si>
    <t>INV-10366</t>
  </si>
  <si>
    <t>INV-10417</t>
  </si>
  <si>
    <t>INV-10196</t>
  </si>
  <si>
    <t>INV-10240</t>
  </si>
  <si>
    <t>INV-10214</t>
  </si>
  <si>
    <t>INV-10038</t>
  </si>
  <si>
    <t>INV-10163</t>
  </si>
  <si>
    <t>INV-10053</t>
  </si>
  <si>
    <t>INV-10183</t>
  </si>
  <si>
    <t>INV-10263</t>
  </si>
  <si>
    <t>INV-10234</t>
  </si>
  <si>
    <t>INV-10373</t>
  </si>
  <si>
    <t>INV-10376</t>
  </si>
  <si>
    <t>INV-10165</t>
  </si>
  <si>
    <t>INV-10164</t>
  </si>
  <si>
    <t>INV-10184</t>
  </si>
  <si>
    <t>INV-10186</t>
  </si>
  <si>
    <t>INV-10059</t>
  </si>
  <si>
    <t>INV-10122</t>
  </si>
  <si>
    <t>INV-10223</t>
  </si>
  <si>
    <t>INV-10149</t>
  </si>
  <si>
    <t>INV-10365</t>
  </si>
  <si>
    <t>INV-10330</t>
  </si>
  <si>
    <t>INV-10242</t>
  </si>
  <si>
    <t>INV-10213</t>
  </si>
  <si>
    <t>INV-10098</t>
  </si>
  <si>
    <t>INV-10151</t>
  </si>
  <si>
    <t>INV-10245</t>
  </si>
  <si>
    <t>INV-10340</t>
  </si>
  <si>
    <t>INV-10357</t>
  </si>
  <si>
    <t>INV-10243</t>
  </si>
  <si>
    <t>INV-10256</t>
  </si>
  <si>
    <t>INV-10415</t>
  </si>
  <si>
    <t>INV-10211</t>
  </si>
  <si>
    <t>INV-10200</t>
  </si>
  <si>
    <t>INV-10368</t>
  </si>
  <si>
    <t>INV-10260</t>
  </si>
  <si>
    <t>INV-10309</t>
  </si>
  <si>
    <t>INV-10075</t>
  </si>
  <si>
    <t>INV-10252</t>
  </si>
  <si>
    <t>INV-10389</t>
  </si>
  <si>
    <t>INV-10087</t>
  </si>
  <si>
    <t>INV-10298</t>
  </si>
  <si>
    <t>INV-10125</t>
  </si>
  <si>
    <t>INV-10341</t>
  </si>
  <si>
    <t>INV-10062</t>
  </si>
  <si>
    <t>INV-10353</t>
  </si>
  <si>
    <t>INV-10244</t>
  </si>
  <si>
    <t>INV-10339</t>
  </si>
  <si>
    <t>INV-10130</t>
  </si>
  <si>
    <t>INV-10150</t>
  </si>
  <si>
    <t>INV-10323</t>
  </si>
  <si>
    <t>INV-10139</t>
  </si>
  <si>
    <t>INV-10270</t>
  </si>
  <si>
    <t>INV-10033</t>
  </si>
  <si>
    <t>INV-10044</t>
  </si>
  <si>
    <t>INV-10210</t>
  </si>
  <si>
    <t>INV-10335</t>
  </si>
  <si>
    <t>INV-10135</t>
  </si>
  <si>
    <t>INV-10024</t>
  </si>
  <si>
    <t>INV-10118</t>
  </si>
  <si>
    <t>INV-10387</t>
  </si>
  <si>
    <t>INV-10187</t>
  </si>
  <si>
    <t>INV-10378</t>
  </si>
  <si>
    <t>INV-10193</t>
  </si>
  <si>
    <t>INV-10312</t>
  </si>
  <si>
    <t>INV-10156</t>
  </si>
  <si>
    <t>INV-10086</t>
  </si>
  <si>
    <t>INV-10192</t>
  </si>
  <si>
    <t>INV-10020</t>
  </si>
  <si>
    <t>INV-10282</t>
  </si>
  <si>
    <t>INV-10071</t>
  </si>
  <si>
    <t>INV-10225</t>
  </si>
  <si>
    <t>INV-10253</t>
  </si>
  <si>
    <t>INV-10396</t>
  </si>
  <si>
    <t>INV-10382</t>
  </si>
  <si>
    <t>INV-10178</t>
  </si>
  <si>
    <t>INV-10232</t>
  </si>
  <si>
    <t>INV-10144</t>
  </si>
  <si>
    <t>INV-10420</t>
  </si>
  <si>
    <t>INV-10088</t>
  </si>
  <si>
    <t>INV-10108</t>
  </si>
  <si>
    <t>INV-10274</t>
  </si>
  <si>
    <t>INV-10268</t>
  </si>
  <si>
    <t>INV-10154</t>
  </si>
  <si>
    <t>INV-10391</t>
  </si>
  <si>
    <t>INV-10049</t>
  </si>
  <si>
    <t>INV-10304</t>
  </si>
  <si>
    <t>INV-10029</t>
  </si>
  <si>
    <t>INV-10170</t>
  </si>
  <si>
    <t>INV-10114</t>
  </si>
  <si>
    <t>INV-10019</t>
  </si>
  <si>
    <t>INV-10182</t>
  </si>
  <si>
    <t>INV-10338</t>
  </si>
  <si>
    <t>INV-10408</t>
  </si>
  <si>
    <t>INV-10083</t>
  </si>
  <si>
    <t>INV-10367</t>
  </si>
  <si>
    <t>INV-10091</t>
  </si>
  <si>
    <t>INV-10143</t>
  </si>
  <si>
    <t>INV-10145</t>
  </si>
  <si>
    <t>INV-10322</t>
  </si>
  <si>
    <t>INV-10095</t>
  </si>
  <si>
    <t>INV-10133</t>
  </si>
  <si>
    <t>INV-10010</t>
  </si>
  <si>
    <t>INV-10063</t>
  </si>
  <si>
    <t>INV-10265</t>
  </si>
  <si>
    <t>INV-10332</t>
  </si>
  <si>
    <t>INV-10025</t>
  </si>
  <si>
    <t>INV-10315</t>
  </si>
  <si>
    <t>INV-10097</t>
  </si>
  <si>
    <t>INV-10269</t>
  </si>
  <si>
    <t>INV-10301</t>
  </si>
  <si>
    <t>INV-10153</t>
  </si>
  <si>
    <t>INV-10185</t>
  </si>
  <si>
    <t>INV-10251</t>
  </si>
  <si>
    <t>INV-10314</t>
  </si>
  <si>
    <t>INV-10005</t>
  </si>
  <si>
    <t>INV-10034</t>
  </si>
  <si>
    <t>INV-10171</t>
  </si>
  <si>
    <t>INV-10175</t>
  </si>
  <si>
    <t>INV-10012</t>
  </si>
  <si>
    <t>INV-10031</t>
  </si>
  <si>
    <t>INV-10111</t>
  </si>
  <si>
    <t>INV-10066</t>
  </si>
  <si>
    <t>INV-10008</t>
  </si>
  <si>
    <t>INV-10104</t>
  </si>
  <si>
    <t>INV-10120</t>
  </si>
  <si>
    <t>INV-10167</t>
  </si>
  <si>
    <t>INV-10180</t>
  </si>
  <si>
    <t>INV-10009</t>
  </si>
  <si>
    <t>INV-10237</t>
  </si>
  <si>
    <t>INV-10325</t>
  </si>
  <si>
    <t>INV-10205</t>
  </si>
  <si>
    <t>INV-10209</t>
  </si>
  <si>
    <t>INV-10296</t>
  </si>
  <si>
    <t>INV-10060</t>
  </si>
  <si>
    <t>INV-10172</t>
  </si>
  <si>
    <t>INV-10318</t>
  </si>
  <si>
    <t>INV-10228</t>
  </si>
  <si>
    <t>INV-10419</t>
  </si>
  <si>
    <t>INV-10096</t>
  </si>
  <si>
    <t>INV-10306</t>
  </si>
  <si>
    <t>INV-10224</t>
  </si>
  <si>
    <t>INV-10003</t>
  </si>
  <si>
    <t>INV-10018</t>
  </si>
  <si>
    <t>INV-10113</t>
  </si>
  <si>
    <t>INV-10132</t>
  </si>
  <si>
    <t>INV-10281</t>
  </si>
  <si>
    <t>INV-10073</t>
  </si>
  <si>
    <t>INV-10208</t>
  </si>
  <si>
    <t>INV-10356</t>
  </si>
  <si>
    <t>INV-10117</t>
  </si>
  <si>
    <t>INV-10346</t>
  </si>
  <si>
    <t>INV-10207</t>
  </si>
  <si>
    <t>INV-10393</t>
  </si>
  <si>
    <t>INV-10030</t>
  </si>
  <si>
    <t>INV-10181</t>
  </si>
  <si>
    <t>INV-10372</t>
  </si>
  <si>
    <t>INV-10386</t>
  </si>
  <si>
    <t>INV-10413</t>
  </si>
  <si>
    <t>INV-10055</t>
  </si>
  <si>
    <t>INV-10176</t>
  </si>
  <si>
    <t>INV-10278</t>
  </si>
  <si>
    <t>INV-10072</t>
  </si>
  <si>
    <t>INV-10158</t>
  </si>
  <si>
    <t>INV-10106</t>
  </si>
  <si>
    <t>INV-10276</t>
  </si>
  <si>
    <t>INV-10349</t>
  </si>
  <si>
    <t>INV-10050</t>
  </si>
  <si>
    <t>INV-10105</t>
  </si>
  <si>
    <t>INV-10254</t>
  </si>
  <si>
    <t>INV-10001</t>
  </si>
  <si>
    <t>INV-10173</t>
  </si>
  <si>
    <t>INV-10123</t>
  </si>
  <si>
    <t>INV-10021</t>
  </si>
  <si>
    <t>INV-10236</t>
  </si>
  <si>
    <t>INV-10226</t>
  </si>
  <si>
    <t>INV-10279</t>
  </si>
  <si>
    <t>INV-10177</t>
  </si>
  <si>
    <t>INV-10331</t>
  </si>
  <si>
    <t>INV-10160</t>
  </si>
  <si>
    <t>INV-10286</t>
  </si>
  <si>
    <t>INV-10404</t>
  </si>
  <si>
    <t>INV-10045</t>
  </si>
  <si>
    <t>INV-10067</t>
  </si>
  <si>
    <t>INV-10090</t>
  </si>
  <si>
    <t>INV-10358</t>
  </si>
  <si>
    <t>INV-10374</t>
  </si>
  <si>
    <t>INV-10418</t>
  </si>
  <si>
    <t>INV-10395</t>
  </si>
  <si>
    <t>INV-10233</t>
  </si>
  <si>
    <t>INV-10381</t>
  </si>
  <si>
    <t>INV-10198</t>
  </si>
  <si>
    <t>INV-10035</t>
  </si>
  <si>
    <t>INV-10061</t>
  </si>
  <si>
    <t>INV-10246</t>
  </si>
  <si>
    <t>INV-10380</t>
  </si>
  <si>
    <t>INV-10400</t>
  </si>
  <si>
    <t>INV-10410</t>
  </si>
  <si>
    <t>INV-10109</t>
  </si>
  <si>
    <t>INV-10284</t>
  </si>
  <si>
    <t>INV-10329</t>
  </si>
  <si>
    <t>INV-10337</t>
  </si>
  <si>
    <t>INV-10017</t>
  </si>
  <si>
    <t>INV-10398</t>
  </si>
  <si>
    <t>INV-10345</t>
  </si>
  <si>
    <t>INV-10084</t>
  </si>
  <si>
    <t>INV-10089</t>
  </si>
  <si>
    <t>INV-10007</t>
  </si>
  <si>
    <t>INV-10206</t>
  </si>
  <si>
    <t>INV-10272</t>
  </si>
  <si>
    <t>INV-10169</t>
  </si>
  <si>
    <t>INV-10290</t>
  </si>
  <si>
    <t>INV-10295</t>
  </si>
  <si>
    <t>RAW EXTRACT — do not analyze directly (contains quality issues)</t>
  </si>
  <si>
    <t>WEST</t>
  </si>
  <si>
    <t xml:space="preserve">Nancy Freehafer </t>
  </si>
  <si>
    <t>company t</t>
  </si>
  <si>
    <t>company p</t>
  </si>
  <si>
    <t xml:space="preserve">Jan Kotas </t>
  </si>
  <si>
    <t>EAST</t>
  </si>
  <si>
    <t>SOUTH</t>
  </si>
  <si>
    <t xml:space="preserve">Anne Larsen </t>
  </si>
  <si>
    <t>company c</t>
  </si>
  <si>
    <t>NORTH</t>
  </si>
  <si>
    <t xml:space="preserve">Andrew Cencini </t>
  </si>
  <si>
    <t>company f</t>
  </si>
  <si>
    <t xml:space="preserve">Michael Neipper </t>
  </si>
  <si>
    <t>company k</t>
  </si>
  <si>
    <t>company a</t>
  </si>
  <si>
    <t>company y</t>
  </si>
  <si>
    <t xml:space="preserve">Mariya Sergienko </t>
  </si>
  <si>
    <t>company g</t>
  </si>
  <si>
    <t>Data Dictionary &amp; Cleaning Rules</t>
  </si>
  <si>
    <t>Field</t>
  </si>
  <si>
    <t>Type</t>
  </si>
  <si>
    <t>Cleaning rule applied</t>
  </si>
  <si>
    <t>Text</t>
  </si>
  <si>
    <t>Unique invoice identifier</t>
  </si>
  <si>
    <t>Trim; keep as text key</t>
  </si>
  <si>
    <t>Date</t>
  </si>
  <si>
    <t>Transaction date</t>
  </si>
  <si>
    <t>Parse to Date; filter to 2014</t>
  </si>
  <si>
    <t>Sales region</t>
  </si>
  <si>
    <t>Trim; Proper case (East/North/South/West)</t>
  </si>
  <si>
    <t>Account owner</t>
  </si>
  <si>
    <t>Trim trailing/leading spaces</t>
  </si>
  <si>
    <t>Buying organization</t>
  </si>
  <si>
    <t>Standardize 'Company X' casing</t>
  </si>
  <si>
    <t>Product name</t>
  </si>
  <si>
    <t>Trim</t>
  </si>
  <si>
    <t>Product category</t>
  </si>
  <si>
    <t>Number</t>
  </si>
  <si>
    <t>Units sold</t>
  </si>
  <si>
    <t>Ensure integer &gt; 0</t>
  </si>
  <si>
    <t>Selling price per unit</t>
  </si>
  <si>
    <t>Round 2 decimals</t>
  </si>
  <si>
    <t>Unit cost</t>
  </si>
  <si>
    <t>Quantity × UnitPrice</t>
  </si>
  <si>
    <t>Recalculate (do not trust source blanks)</t>
  </si>
  <si>
    <t>(UnitPrice − Cost) × Quantity</t>
  </si>
  <si>
    <t>Recalculate</t>
  </si>
  <si>
    <t>Calendar year</t>
  </si>
  <si>
    <t>Derived from OrderDate</t>
  </si>
  <si>
    <t>Month number 1–12</t>
  </si>
  <si>
    <t>Jan–Dec label</t>
  </si>
  <si>
    <t>Derived</t>
  </si>
  <si>
    <t>Invoice value band</t>
  </si>
  <si>
    <t>Bucket Revenue for histogram</t>
  </si>
  <si>
    <t>Power Query — Recommended Cleaning Pipeline</t>
  </si>
  <si>
    <t>Step</t>
  </si>
  <si>
    <t>Action</t>
  </si>
  <si>
    <t>Detail</t>
  </si>
  <si>
    <t>1</t>
  </si>
  <si>
    <t>Connect</t>
  </si>
  <si>
    <t>Select 01_Raw_Data!A2:L422 → From Table/Range → name query Sales_Raw</t>
  </si>
  <si>
    <t>2</t>
  </si>
  <si>
    <t>Promote headers</t>
  </si>
  <si>
    <t>Ensure first row is used as headers</t>
  </si>
  <si>
    <t>3</t>
  </si>
  <si>
    <t>Data types</t>
  </si>
  <si>
    <t>OrderDate → Date; Quantity → Whole Number; UnitPrice/Cost/Revenue/Profit → Decimal/Currency</t>
  </si>
  <si>
    <t>4</t>
  </si>
  <si>
    <t>Trim text</t>
  </si>
  <si>
    <t>Transform → Format → Trim on Region, Salesperson, Customer, Product, Category</t>
  </si>
  <si>
    <t>5</t>
  </si>
  <si>
    <t>Clean Region</t>
  </si>
  <si>
    <t>Transform → Format → Capitalize Each Word; replace synonyms if any</t>
  </si>
  <si>
    <t>6</t>
  </si>
  <si>
    <t>Filter year</t>
  </si>
  <si>
    <t>OrderDate → Date Filters → Between 2014-01-01 and 2014-12-31</t>
  </si>
  <si>
    <t>7</t>
  </si>
  <si>
    <t>Remove blanks</t>
  </si>
  <si>
    <t>Remove rows with null InvoiceID or OrderDate</t>
  </si>
  <si>
    <t>8</t>
  </si>
  <si>
    <t>Recalculate Revenue</t>
  </si>
  <si>
    <t>Add Column → Custom: [Quantity]*[UnitPrice] → type Currency → replace Revenue</t>
  </si>
  <si>
    <t>9</t>
  </si>
  <si>
    <t>Recalculate Profit</t>
  </si>
  <si>
    <t>Add Column: ([UnitPrice]-[Cost])*[Quantity] → type Currency</t>
  </si>
  <si>
    <t>10</t>
  </si>
  <si>
    <t>Add Year/Month</t>
  </si>
  <si>
    <t>Add Column from OrderDate → Year, Month, Month Name</t>
  </si>
  <si>
    <t>11</t>
  </si>
  <si>
    <t>Add OrderBucket</t>
  </si>
  <si>
    <t>Conditional column on Revenue bands: 0-1000, 1000-2000, 2000-3000, 3000-4000, &gt;4000</t>
  </si>
  <si>
    <t>12</t>
  </si>
  <si>
    <t>Load</t>
  </si>
  <si>
    <t>Close &amp; Load To → 02_Clean_Data (or Data Model for Power Pivot)</t>
  </si>
  <si>
    <t>Monthly Revenue, Profit &amp; Orders — 2014</t>
  </si>
  <si>
    <t>Month#</t>
  </si>
  <si>
    <t>Profit Margin %</t>
  </si>
  <si>
    <t>Units</t>
  </si>
  <si>
    <t>TOTAL</t>
  </si>
  <si>
    <t>Sales by Region — 2014</t>
  </si>
  <si>
    <t>Margin %</t>
  </si>
  <si>
    <t>% of Total Revenue</t>
  </si>
  <si>
    <t>Sales by Salesperson — 2014</t>
  </si>
  <si>
    <t>Rank</t>
  </si>
  <si>
    <t>Avg Deal</t>
  </si>
  <si>
    <t>Top Customers by Revenue — 2014</t>
  </si>
  <si>
    <t>% of Total</t>
  </si>
  <si>
    <t>Top5 Customer</t>
  </si>
  <si>
    <t>Business Insights &amp; Recommendations</t>
  </si>
  <si>
    <t>Based on cleaned 2014 retail sales transactions in this workbook</t>
  </si>
  <si>
    <t>Key findings</t>
  </si>
  <si>
    <t>1. Overall performance</t>
  </si>
  <si>
    <t>Full-year revenue reached $130,054 across 420 invoices, with profit of $70,267 (54.0% margin) and average order value of $310.</t>
  </si>
  <si>
    <t>2. Seasonality</t>
  </si>
  <si>
    <t>Peak month was Dec ($17,864); softest month was Jul ($6,289). Plan inventory and promotions ahead of mid-year and year-end demand spikes.</t>
  </si>
  <si>
    <t>3. Regional concentration</t>
  </si>
  <si>
    <t>West leads with $39,736 (30.6% of revenue). North is lowest at $24,135. Investigate coverage, pricing, and competitor presence in underperforming regions.</t>
  </si>
  <si>
    <t>4. Sales team productivity</t>
  </si>
  <si>
    <t>Top performer: Michael Neipper ($21,322, 59 orders). Lowest volume: Mariya Sergienko ($12,863). Pair high performers with lower-volume reps for coaching; review account assignment fairness.</t>
  </si>
  <si>
    <t>5. Customer concentration risk</t>
  </si>
  <si>
    <t>Largest customer Company E contributes $15,688 (12.1% of total). Expand mid-tier accounts so revenue is less dependent on a few buyers.</t>
  </si>
  <si>
    <t>6. Order value mix</t>
  </si>
  <si>
    <t>Most invoices fall in lower value bands (see dashboard histogram). Introduce bundles or volume tiers to shift more transactions into $2,000+ buckets without discounting margin away.</t>
  </si>
  <si>
    <t>Recommended actions</t>
  </si>
  <si>
    <t>1. Publish a monthly sales scorecard from 05_Monthly_Revenue to leadership by the 3rd business day.</t>
  </si>
  <si>
    <t>2. Run a targeted campaign in the lowest-revenue region with localized pricing tests for top 3 products.</t>
  </si>
  <si>
    <t>3. Create a playbook from top salesperson win patterns; role-play in next team meeting.</t>
  </si>
  <si>
    <t>4. Launch a Q1 loyalty offer for customers ranked 6–15 to grow the middle of the book.</t>
  </si>
  <si>
    <t>5. Automate the Power Query refresh (04_PowerQuery_Steps) so the Clean_Data table updates when new extracts arrive.</t>
  </si>
  <si>
    <t>6. Add product-level margin gates so deep discounts cannot push deals below target contribution margin.</t>
  </si>
  <si>
    <t>All_Flag</t>
  </si>
  <si>
    <t>Region_Select</t>
  </si>
  <si>
    <t>Rep_Select</t>
  </si>
  <si>
    <t>Cat_Select</t>
  </si>
  <si>
    <t>Month_Select</t>
  </si>
  <si>
    <t xml:space="preserve">Retail Sales Performance Analysis </t>
  </si>
  <si>
    <t xml:space="preserve">KEY METRICS </t>
  </si>
  <si>
    <t xml:space="preserve">Sales Analytics — Interactive Dashboard </t>
  </si>
  <si>
    <t xml:space="preserve">CLEAN FACT TABLE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</si>
</sst>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"/>
    <numFmt numFmtId="165" formatCode="yyyy\-mm\-dd"/>
    <numFmt numFmtId="166" formatCode="\$#,##0.00"/>
    <numFmt numFmtId="167" formatCode="0.0%"/>
    <numFmt numFmtId="168" formatCode="&quot;$&quot;#,##0"/>
    <numFmt numFmtId="169" formatCode="&quot;$&quot;#,##0.00"/>
  </numFmts>
  <fonts count="25" x14ac:knownFonts="1">
    <font>
      <sz val="11"/>
      <color theme="1"/>
      <name val="Calibri"/>
      <family val="2"/>
      <scheme val="minor"/>
    </font>
    <font>
      <b/>
      <sz val="20"/>
      <color rgb="FF1F4E79"/>
      <name val="Calibri"/>
    </font>
    <font>
      <i/>
      <sz val="11"/>
      <color rgb="FF666666"/>
      <name val="Calibri"/>
    </font>
    <font>
      <b/>
      <sz val="14"/>
      <color rgb="FF1F4E79"/>
      <name val="Calibri"/>
    </font>
    <font>
      <b/>
      <sz val="11"/>
      <name val="Calibri"/>
    </font>
    <font>
      <sz val="11"/>
      <name val="Calibri"/>
    </font>
    <font>
      <b/>
      <sz val="11"/>
      <color rgb="FFFFFFFF"/>
      <name val="Calibri"/>
    </font>
    <font>
      <b/>
      <sz val="12"/>
      <color rgb="FFC0392B"/>
      <name val="Calibri"/>
    </font>
    <font>
      <sz val="11"/>
      <color rgb="FF0000FF"/>
      <name val="Calibri"/>
    </font>
    <font>
      <b/>
      <sz val="12"/>
      <color rgb="FF1F4E79"/>
      <name val="Calibri"/>
    </font>
    <font>
      <b/>
      <sz val="11"/>
      <name val="Calibri"/>
    </font>
    <font>
      <b/>
      <sz val="22"/>
      <color rgb="FF1F4E79"/>
      <name val="Calibri"/>
    </font>
    <font>
      <i/>
      <sz val="10"/>
      <color rgb="FF666666"/>
      <name val="Calibri"/>
    </font>
    <font>
      <sz val="10"/>
      <color rgb="FFD0D8E0"/>
      <name val="Calibri"/>
    </font>
    <font>
      <b/>
      <sz val="18"/>
      <color rgb="FFFFFFFF"/>
      <name val="Calibri"/>
    </font>
    <font>
      <sz val="11"/>
      <color rgb="FF196F3D"/>
      <name val="Calibri"/>
    </font>
    <font>
      <b/>
      <sz val="11"/>
      <color rgb="FF1F4E79"/>
      <name val="Calibri"/>
    </font>
    <font>
      <b/>
      <sz val="9"/>
      <color rgb="FF1F4E79"/>
      <name val="Calibri"/>
    </font>
    <font>
      <sz val="8"/>
      <color rgb="FF888888"/>
      <name val="Calibri"/>
    </font>
    <font>
      <i/>
      <sz val="9"/>
      <color rgb="FF1F4E79"/>
      <name val="Calibri"/>
    </font>
    <font>
      <sz val="10"/>
      <color rgb="FF666666"/>
      <name val="Calibri"/>
    </font>
    <font>
      <b/>
      <sz val="9"/>
      <name val="Calibri"/>
    </font>
    <font>
      <sz val="9"/>
      <color rgb="FF1F4E79"/>
      <name val="Calibri"/>
    </font>
    <font>
      <b/>
      <sz val="11"/>
      <color rgb="FFFFFFFF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AF8"/>
      </patternFill>
    </fill>
    <fill>
      <patternFill patternType="solid">
        <fgColor rgb="FFAED6F1"/>
      </patternFill>
    </fill>
    <fill>
      <patternFill patternType="solid">
        <fgColor rgb="FFEBF5FB"/>
      </patternFill>
    </fill>
    <fill>
      <patternFill patternType="solid">
        <fgColor rgb="FFFDEBD0"/>
      </patternFill>
    </fill>
    <fill>
      <patternFill patternType="solid">
        <fgColor rgb="FFF5F6FA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5" fillId="3" borderId="0" xfId="0" applyFont="1" applyFill="1"/>
    <xf numFmtId="0" fontId="12" fillId="0" borderId="0" xfId="0" applyFont="1"/>
    <xf numFmtId="164" fontId="0" fillId="0" borderId="0" xfId="0" applyNumberFormat="1"/>
    <xf numFmtId="0" fontId="13" fillId="2" borderId="0" xfId="0" applyFont="1" applyFill="1"/>
    <xf numFmtId="0" fontId="0" fillId="2" borderId="0" xfId="0" applyFill="1"/>
    <xf numFmtId="0" fontId="10" fillId="0" borderId="0" xfId="0" applyFont="1"/>
    <xf numFmtId="0" fontId="0" fillId="4" borderId="0" xfId="0" applyFill="1"/>
    <xf numFmtId="0" fontId="5" fillId="0" borderId="1" xfId="0" applyFont="1" applyBorder="1"/>
    <xf numFmtId="165" fontId="5" fillId="0" borderId="1" xfId="0" applyNumberFormat="1" applyFont="1" applyBorder="1"/>
    <xf numFmtId="166" fontId="5" fillId="0" borderId="1" xfId="0" applyNumberFormat="1" applyFont="1" applyBorder="1"/>
    <xf numFmtId="0" fontId="7" fillId="0" borderId="0" xfId="0" applyFont="1"/>
    <xf numFmtId="0" fontId="6" fillId="2" borderId="0" xfId="0" applyFont="1" applyFill="1" applyAlignment="1">
      <alignment horizontal="center"/>
    </xf>
    <xf numFmtId="0" fontId="8" fillId="0" borderId="0" xfId="0" applyFont="1"/>
    <xf numFmtId="165" fontId="8" fillId="0" borderId="0" xfId="0" applyNumberFormat="1" applyFont="1"/>
    <xf numFmtId="166" fontId="8" fillId="0" borderId="0" xfId="0" applyNumberFormat="1" applyFont="1"/>
    <xf numFmtId="0" fontId="5" fillId="3" borderId="1" xfId="0" applyFont="1" applyFill="1" applyBorder="1"/>
    <xf numFmtId="0" fontId="4" fillId="0" borderId="1" xfId="0" applyFont="1" applyBorder="1"/>
    <xf numFmtId="164" fontId="5" fillId="0" borderId="1" xfId="0" applyNumberFormat="1" applyFont="1" applyBorder="1"/>
    <xf numFmtId="167" fontId="5" fillId="0" borderId="1" xfId="0" applyNumberFormat="1" applyFont="1" applyBorder="1"/>
    <xf numFmtId="164" fontId="10" fillId="0" borderId="0" xfId="0" applyNumberFormat="1" applyFont="1"/>
    <xf numFmtId="167" fontId="0" fillId="0" borderId="0" xfId="0" applyNumberFormat="1"/>
    <xf numFmtId="164" fontId="0" fillId="0" borderId="1" xfId="0" applyNumberFormat="1" applyBorder="1"/>
    <xf numFmtId="167" fontId="0" fillId="0" borderId="1" xfId="0" applyNumberFormat="1" applyBorder="1"/>
    <xf numFmtId="0" fontId="0" fillId="0" borderId="1" xfId="0" applyBorder="1"/>
    <xf numFmtId="166" fontId="0" fillId="0" borderId="1" xfId="0" applyNumberFormat="1" applyBorder="1"/>
    <xf numFmtId="0" fontId="15" fillId="0" borderId="0" xfId="0" applyFont="1"/>
    <xf numFmtId="0" fontId="24" fillId="3" borderId="0" xfId="0" applyFont="1" applyFill="1"/>
    <xf numFmtId="0" fontId="16" fillId="0" borderId="0" xfId="0" applyFont="1"/>
    <xf numFmtId="0" fontId="17" fillId="3" borderId="0" xfId="0" applyFont="1" applyFill="1"/>
    <xf numFmtId="0" fontId="18" fillId="0" borderId="0" xfId="0" applyFont="1"/>
    <xf numFmtId="0" fontId="4" fillId="8" borderId="2" xfId="0" applyFont="1" applyFill="1" applyBorder="1" applyAlignment="1">
      <alignment horizontal="center"/>
    </xf>
    <xf numFmtId="0" fontId="19" fillId="0" borderId="0" xfId="0" applyFont="1"/>
    <xf numFmtId="0" fontId="21" fillId="0" borderId="0" xfId="0" applyFont="1"/>
    <xf numFmtId="0" fontId="23" fillId="2" borderId="0" xfId="0" applyFont="1" applyFill="1"/>
    <xf numFmtId="168" fontId="0" fillId="0" borderId="0" xfId="0" applyNumberFormat="1"/>
    <xf numFmtId="169" fontId="0" fillId="0" borderId="0" xfId="0" applyNumberFormat="1"/>
    <xf numFmtId="0" fontId="0" fillId="0" borderId="0" xfId="0"/>
    <xf numFmtId="3" fontId="1" fillId="8" borderId="2" xfId="0" applyNumberFormat="1" applyFont="1" applyFill="1" applyBorder="1"/>
    <xf numFmtId="0" fontId="0" fillId="0" borderId="2" xfId="0" applyBorder="1"/>
    <xf numFmtId="167" fontId="1" fillId="8" borderId="2" xfId="0" applyNumberFormat="1" applyFont="1" applyFill="1" applyBorder="1"/>
    <xf numFmtId="169" fontId="1" fillId="8" borderId="2" xfId="0" applyNumberFormat="1" applyFont="1" applyFill="1" applyBorder="1"/>
    <xf numFmtId="0" fontId="20" fillId="5" borderId="0" xfId="0" applyFont="1" applyFill="1"/>
    <xf numFmtId="0" fontId="0" fillId="5" borderId="0" xfId="0" applyFill="1"/>
    <xf numFmtId="168" fontId="1" fillId="8" borderId="2" xfId="0" applyNumberFormat="1" applyFont="1" applyFill="1" applyBorder="1"/>
    <xf numFmtId="0" fontId="16" fillId="0" borderId="0" xfId="0" applyFont="1"/>
    <xf numFmtId="0" fontId="14" fillId="2" borderId="0" xfId="0" applyFont="1" applyFill="1" applyAlignment="1">
      <alignment horizontal="left" vertical="center"/>
    </xf>
    <xf numFmtId="0" fontId="0" fillId="2" borderId="0" xfId="0" applyFill="1"/>
    <xf numFmtId="0" fontId="22" fillId="0" borderId="0" xfId="0" applyFont="1"/>
    <xf numFmtId="0" fontId="14" fillId="2" borderId="0" xfId="0" applyFont="1" applyFill="1" applyAlignment="1">
      <alignment horizontal="left"/>
    </xf>
    <xf numFmtId="0" fontId="11" fillId="0" borderId="0" xfId="0" applyFont="1"/>
    <xf numFmtId="0" fontId="9" fillId="5" borderId="0" xfId="0" applyFont="1" applyFill="1"/>
    <xf numFmtId="0" fontId="5" fillId="7" borderId="0" xfId="0" applyFont="1" applyFill="1"/>
    <xf numFmtId="0" fontId="5" fillId="0" borderId="0" xfId="0" applyFont="1" applyAlignment="1">
      <alignment wrapText="1"/>
    </xf>
    <xf numFmtId="0" fontId="5" fillId="6" borderId="0" xfId="0" applyFont="1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Revenue (respects slicers)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Interactive_Dashboard!$C$35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Interactive_Dashboard!$B$36:$B$47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Interactive_Dashboard!$C$36:$C$47</c:f>
              <c:numCache>
                <c:formatCode>"$"#,##0</c:formatCode>
                <c:ptCount val="12"/>
                <c:pt idx="0">
                  <c:v>9611.1000000000022</c:v>
                </c:pt>
                <c:pt idx="1">
                  <c:v>10884.69</c:v>
                </c:pt>
                <c:pt idx="2">
                  <c:v>15226.390000000001</c:v>
                </c:pt>
                <c:pt idx="3">
                  <c:v>7289.1799999999994</c:v>
                </c:pt>
                <c:pt idx="4">
                  <c:v>10652.83</c:v>
                </c:pt>
                <c:pt idx="5">
                  <c:v>10629.510000000002</c:v>
                </c:pt>
                <c:pt idx="6">
                  <c:v>6289.33</c:v>
                </c:pt>
                <c:pt idx="7">
                  <c:v>6775.23</c:v>
                </c:pt>
                <c:pt idx="8">
                  <c:v>10190.929999999998</c:v>
                </c:pt>
                <c:pt idx="9">
                  <c:v>16865.899999999998</c:v>
                </c:pt>
                <c:pt idx="10">
                  <c:v>7774.9400000000005</c:v>
                </c:pt>
                <c:pt idx="11">
                  <c:v>17864.080000000002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97-447A-8D7A-544CC9CEB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</a:t>
                </a:r>
              </a:p>
            </c:rich>
          </c:tx>
          <c:overlay val="1"/>
        </c:title>
        <c:numFmt formatCode="&quot;$&quot;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2014 Sales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'09_Dashboard'!$AB$2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'09_Dashboard'!$AA$3:$AA$14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'09_Dashboard'!$AB$3:$AB$14</c:f>
              <c:numCache>
                <c:formatCode>\$#,##0</c:formatCode>
                <c:ptCount val="12"/>
                <c:pt idx="0">
                  <c:v>9611.1</c:v>
                </c:pt>
                <c:pt idx="1">
                  <c:v>10884.69</c:v>
                </c:pt>
                <c:pt idx="2">
                  <c:v>15226.39</c:v>
                </c:pt>
                <c:pt idx="3">
                  <c:v>7289.18</c:v>
                </c:pt>
                <c:pt idx="4">
                  <c:v>10652.83</c:v>
                </c:pt>
                <c:pt idx="5">
                  <c:v>10629.51</c:v>
                </c:pt>
                <c:pt idx="6">
                  <c:v>6289.33</c:v>
                </c:pt>
                <c:pt idx="7">
                  <c:v>6775.23</c:v>
                </c:pt>
                <c:pt idx="8">
                  <c:v>10190.93</c:v>
                </c:pt>
                <c:pt idx="9">
                  <c:v>16865.900000000001</c:v>
                </c:pt>
                <c:pt idx="10">
                  <c:v>7774.94</c:v>
                </c:pt>
                <c:pt idx="11">
                  <c:v>17864.080000000002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CA7-4C08-8A44-8094A76D9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Sales by Region for 2014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'09_Dashboard'!$AD$2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'09_Dashboard'!$AC$3:$AC$6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East</c:v>
                </c:pt>
                <c:pt idx="3">
                  <c:v>North</c:v>
                </c:pt>
              </c:strCache>
            </c:strRef>
          </c:cat>
          <c:val>
            <c:numRef>
              <c:f>'09_Dashboard'!$AD$3:$AD$6</c:f>
              <c:numCache>
                <c:formatCode>\$#,##0</c:formatCode>
                <c:ptCount val="4"/>
                <c:pt idx="0">
                  <c:v>39735.74</c:v>
                </c:pt>
                <c:pt idx="1">
                  <c:v>35514.75</c:v>
                </c:pt>
                <c:pt idx="2">
                  <c:v>30668.53</c:v>
                </c:pt>
                <c:pt idx="3">
                  <c:v>24135.09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65-4B56-817D-59B5F321E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Sales by Salesperson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'09_Dashboard'!$AF$2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'09_Dashboard'!$AE$3:$AE$10</c:f>
              <c:strCache>
                <c:ptCount val="8"/>
                <c:pt idx="0">
                  <c:v>Michael Neipper</c:v>
                </c:pt>
                <c:pt idx="1">
                  <c:v>Robert Zare</c:v>
                </c:pt>
                <c:pt idx="2">
                  <c:v>Andrew Cencini</c:v>
                </c:pt>
                <c:pt idx="3">
                  <c:v>Nancy Freehafer</c:v>
                </c:pt>
                <c:pt idx="4">
                  <c:v>Laura Giussani</c:v>
                </c:pt>
                <c:pt idx="5">
                  <c:v>Anne Larsen</c:v>
                </c:pt>
                <c:pt idx="6">
                  <c:v>Jan Kotas</c:v>
                </c:pt>
                <c:pt idx="7">
                  <c:v>Mariya Sergienko</c:v>
                </c:pt>
              </c:strCache>
            </c:strRef>
          </c:cat>
          <c:val>
            <c:numRef>
              <c:f>'09_Dashboard'!$AF$3:$AF$10</c:f>
              <c:numCache>
                <c:formatCode>\$#,##0</c:formatCode>
                <c:ptCount val="8"/>
                <c:pt idx="0">
                  <c:v>21322.2</c:v>
                </c:pt>
                <c:pt idx="1">
                  <c:v>18776.580000000002</c:v>
                </c:pt>
                <c:pt idx="2">
                  <c:v>18182.78</c:v>
                </c:pt>
                <c:pt idx="3">
                  <c:v>15670.56</c:v>
                </c:pt>
                <c:pt idx="4">
                  <c:v>15205.84</c:v>
                </c:pt>
                <c:pt idx="5">
                  <c:v>14141.93</c:v>
                </c:pt>
                <c:pt idx="6">
                  <c:v>13891.52</c:v>
                </c:pt>
                <c:pt idx="7">
                  <c:v>12862.7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81-4DF9-BEB8-589B08327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Top 5 Customers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'09_Dashboard'!$AH$2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'09_Dashboard'!$AG$3:$AG$7</c:f>
              <c:strCache>
                <c:ptCount val="5"/>
                <c:pt idx="0">
                  <c:v>Company E</c:v>
                </c:pt>
                <c:pt idx="1">
                  <c:v>Company A</c:v>
                </c:pt>
                <c:pt idx="2">
                  <c:v>Company P</c:v>
                </c:pt>
                <c:pt idx="3">
                  <c:v>Company M</c:v>
                </c:pt>
                <c:pt idx="4">
                  <c:v>Company K</c:v>
                </c:pt>
              </c:strCache>
            </c:strRef>
          </c:cat>
          <c:val>
            <c:numRef>
              <c:f>'09_Dashboard'!$AH$3:$AH$7</c:f>
              <c:numCache>
                <c:formatCode>\$#,##0</c:formatCode>
                <c:ptCount val="5"/>
                <c:pt idx="0">
                  <c:v>15688.08</c:v>
                </c:pt>
                <c:pt idx="1">
                  <c:v>11880.17</c:v>
                </c:pt>
                <c:pt idx="2">
                  <c:v>11642.84</c:v>
                </c:pt>
                <c:pt idx="3">
                  <c:v>9810.18</c:v>
                </c:pt>
                <c:pt idx="4">
                  <c:v>9510.23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CE-496A-816A-61DC40BB1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Transaction Count by Invoice Amount - 2014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'09_Dashboard'!$AJ$2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'09_Dashboard'!$AI$3:$AI$7</c:f>
              <c:strCache>
                <c:ptCount val="5"/>
                <c:pt idx="0">
                  <c:v>0-1000</c:v>
                </c:pt>
                <c:pt idx="1">
                  <c:v>1000-2000</c:v>
                </c:pt>
                <c:pt idx="2">
                  <c:v>2000-3000</c:v>
                </c:pt>
                <c:pt idx="3">
                  <c:v>3000-4000</c:v>
                </c:pt>
                <c:pt idx="4">
                  <c:v>&gt;4000</c:v>
                </c:pt>
              </c:strCache>
            </c:strRef>
          </c:cat>
          <c:val>
            <c:numRef>
              <c:f>'09_Dashboard'!$AJ$3:$AJ$7</c:f>
              <c:numCache>
                <c:formatCode>General</c:formatCode>
                <c:ptCount val="5"/>
                <c:pt idx="0">
                  <c:v>391</c:v>
                </c:pt>
                <c:pt idx="1">
                  <c:v>28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9A-4E64-946F-92060CC40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183402777777781"/>
          <c:y val="0.36199598765432106"/>
          <c:w val="0.17816597222222222"/>
          <c:h val="0.35440277777777779"/>
        </c:manualLayout>
      </c:layout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2014 Sales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'05_Monthly_Revenue'!$C$3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'05_Monthly_Revenue'!$B$4:$B$15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'05_Monthly_Revenue'!$C$4:$C$15</c:f>
              <c:numCache>
                <c:formatCode>\$#,##0</c:formatCode>
                <c:ptCount val="12"/>
                <c:pt idx="0">
                  <c:v>9611.1</c:v>
                </c:pt>
                <c:pt idx="1">
                  <c:v>10884.69</c:v>
                </c:pt>
                <c:pt idx="2">
                  <c:v>15226.39</c:v>
                </c:pt>
                <c:pt idx="3">
                  <c:v>7289.18</c:v>
                </c:pt>
                <c:pt idx="4">
                  <c:v>10652.83</c:v>
                </c:pt>
                <c:pt idx="5">
                  <c:v>10629.51</c:v>
                </c:pt>
                <c:pt idx="6">
                  <c:v>6289.33</c:v>
                </c:pt>
                <c:pt idx="7">
                  <c:v>6775.23</c:v>
                </c:pt>
                <c:pt idx="8">
                  <c:v>10190.93</c:v>
                </c:pt>
                <c:pt idx="9">
                  <c:v>16865.900000000001</c:v>
                </c:pt>
                <c:pt idx="10">
                  <c:v>7774.94</c:v>
                </c:pt>
                <c:pt idx="11">
                  <c:v>17864.080000000002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DFF-4DF4-945F-55051B0B0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</a:t>
                </a:r>
              </a:p>
            </c:rich>
          </c:tx>
          <c:overlay val="1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Sales by Region for 2014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'06_Regional_Perf'!$B$3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'06_Regional_Perf'!$A$4:$A$7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East</c:v>
                </c:pt>
                <c:pt idx="3">
                  <c:v>North</c:v>
                </c:pt>
              </c:strCache>
            </c:strRef>
          </c:cat>
          <c:val>
            <c:numRef>
              <c:f>'06_Regional_Perf'!$B$4:$B$7</c:f>
              <c:numCache>
                <c:formatCode>\$#,##0</c:formatCode>
                <c:ptCount val="4"/>
                <c:pt idx="0">
                  <c:v>39735.74</c:v>
                </c:pt>
                <c:pt idx="1">
                  <c:v>35514.75</c:v>
                </c:pt>
                <c:pt idx="2">
                  <c:v>30668.53</c:v>
                </c:pt>
                <c:pt idx="3">
                  <c:v>24135.09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CA-4F61-A82C-8B3FC4B75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</a:t>
                </a:r>
              </a:p>
            </c:rich>
          </c:tx>
          <c:overlay val="1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Sales by Salesperson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'07_Sales_by_Rep'!$C$3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'07_Sales_by_Rep'!$B$4:$B$11</c:f>
              <c:strCache>
                <c:ptCount val="8"/>
                <c:pt idx="0">
                  <c:v>Michael Neipper</c:v>
                </c:pt>
                <c:pt idx="1">
                  <c:v>Robert Zare</c:v>
                </c:pt>
                <c:pt idx="2">
                  <c:v>Andrew Cencini</c:v>
                </c:pt>
                <c:pt idx="3">
                  <c:v>Nancy Freehafer</c:v>
                </c:pt>
                <c:pt idx="4">
                  <c:v>Laura Giussani</c:v>
                </c:pt>
                <c:pt idx="5">
                  <c:v>Anne Larsen</c:v>
                </c:pt>
                <c:pt idx="6">
                  <c:v>Jan Kotas</c:v>
                </c:pt>
                <c:pt idx="7">
                  <c:v>Mariya Sergienko</c:v>
                </c:pt>
              </c:strCache>
            </c:strRef>
          </c:cat>
          <c:val>
            <c:numRef>
              <c:f>'07_Sales_by_Rep'!$C$4:$C$11</c:f>
              <c:numCache>
                <c:formatCode>\$#,##0</c:formatCode>
                <c:ptCount val="8"/>
                <c:pt idx="0">
                  <c:v>21322.2</c:v>
                </c:pt>
                <c:pt idx="1">
                  <c:v>18776.580000000002</c:v>
                </c:pt>
                <c:pt idx="2">
                  <c:v>18182.78</c:v>
                </c:pt>
                <c:pt idx="3">
                  <c:v>15670.56</c:v>
                </c:pt>
                <c:pt idx="4">
                  <c:v>15205.84</c:v>
                </c:pt>
                <c:pt idx="5">
                  <c:v>14141.93</c:v>
                </c:pt>
                <c:pt idx="6">
                  <c:v>13891.52</c:v>
                </c:pt>
                <c:pt idx="7">
                  <c:v>12862.7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CE-4D86-AFA3-E78904A25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Top 5 Customers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'08_Top_Customers'!$I$3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'08_Top_Customers'!$H$4:$H$8</c:f>
              <c:strCache>
                <c:ptCount val="5"/>
                <c:pt idx="0">
                  <c:v>Company E</c:v>
                </c:pt>
                <c:pt idx="1">
                  <c:v>Company A</c:v>
                </c:pt>
                <c:pt idx="2">
                  <c:v>Company P</c:v>
                </c:pt>
                <c:pt idx="3">
                  <c:v>Company M</c:v>
                </c:pt>
                <c:pt idx="4">
                  <c:v>Company K</c:v>
                </c:pt>
              </c:strCache>
            </c:strRef>
          </c:cat>
          <c:val>
            <c:numRef>
              <c:f>'08_Top_Customers'!$I$4:$I$8</c:f>
              <c:numCache>
                <c:formatCode>\$#,##0</c:formatCode>
                <c:ptCount val="5"/>
                <c:pt idx="0">
                  <c:v>15688.08</c:v>
                </c:pt>
                <c:pt idx="1">
                  <c:v>11880.17</c:v>
                </c:pt>
                <c:pt idx="2">
                  <c:v>11642.84</c:v>
                </c:pt>
                <c:pt idx="3">
                  <c:v>9810.18</c:v>
                </c:pt>
                <c:pt idx="4">
                  <c:v>9510.23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E1-42EF-B4C2-3031C9FC7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21</xdr:row>
      <xdr:rowOff>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0</xdr:rowOff>
    </xdr:from>
    <xdr:ext cx="54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8</xdr:row>
      <xdr:rowOff>0</xdr:rowOff>
    </xdr:from>
    <xdr:ext cx="432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23</xdr:row>
      <xdr:rowOff>0</xdr:rowOff>
    </xdr:from>
    <xdr:ext cx="504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0</xdr:colOff>
      <xdr:row>23</xdr:row>
      <xdr:rowOff>0</xdr:rowOff>
    </xdr:from>
    <xdr:ext cx="4320000" cy="36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139700</xdr:colOff>
      <xdr:row>41</xdr:row>
      <xdr:rowOff>171450</xdr:rowOff>
    </xdr:from>
    <xdr:ext cx="4320000" cy="324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19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0</xdr:rowOff>
    </xdr:from>
    <xdr:ext cx="504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57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0</xdr:rowOff>
    </xdr:from>
    <xdr:ext cx="504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2:P422">
  <autoFilter ref="A2:P422" xr:uid="{00000000-0009-0000-0100-000001000000}"/>
  <tableColumns count="16">
    <tableColumn id="1" xr3:uid="{00000000-0010-0000-0000-000001000000}" name="InvoiceID"/>
    <tableColumn id="2" xr3:uid="{00000000-0010-0000-0000-000002000000}" name="OrderDate"/>
    <tableColumn id="3" xr3:uid="{00000000-0010-0000-0000-000003000000}" name="Region"/>
    <tableColumn id="4" xr3:uid="{00000000-0010-0000-0000-000004000000}" name="Salesperson"/>
    <tableColumn id="5" xr3:uid="{00000000-0010-0000-0000-000005000000}" name="Customer"/>
    <tableColumn id="6" xr3:uid="{00000000-0010-0000-0000-000006000000}" name="Product"/>
    <tableColumn id="7" xr3:uid="{00000000-0010-0000-0000-000007000000}" name="Category"/>
    <tableColumn id="8" xr3:uid="{00000000-0010-0000-0000-000008000000}" name="Quantity"/>
    <tableColumn id="9" xr3:uid="{00000000-0010-0000-0000-000009000000}" name="UnitPrice"/>
    <tableColumn id="10" xr3:uid="{00000000-0010-0000-0000-00000A000000}" name="Cost"/>
    <tableColumn id="11" xr3:uid="{00000000-0010-0000-0000-00000B000000}" name="Revenue"/>
    <tableColumn id="12" xr3:uid="{00000000-0010-0000-0000-00000C000000}" name="Profit"/>
    <tableColumn id="13" xr3:uid="{00000000-0010-0000-0000-00000D000000}" name="Year"/>
    <tableColumn id="14" xr3:uid="{00000000-0010-0000-0000-00000E000000}" name="Month"/>
    <tableColumn id="15" xr3:uid="{00000000-0010-0000-0000-00000F000000}" name="MonthName"/>
    <tableColumn id="16" xr3:uid="{00000000-0010-0000-0000-000010000000}" name="OrderBuc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sqref="A1:G1"/>
    </sheetView>
  </sheetViews>
  <sheetFormatPr defaultRowHeight="14.5" x14ac:dyDescent="0.35"/>
  <cols>
    <col min="1" max="1" width="22" customWidth="1"/>
    <col min="2" max="2" width="90" customWidth="1"/>
  </cols>
  <sheetData>
    <row r="1" spans="1:7" ht="26" x14ac:dyDescent="0.6">
      <c r="A1" s="61" t="s">
        <v>689</v>
      </c>
      <c r="B1" s="62"/>
      <c r="C1" s="62"/>
      <c r="D1" s="62"/>
      <c r="E1" s="62"/>
      <c r="F1" s="62"/>
      <c r="G1" s="62"/>
    </row>
    <row r="2" spans="1:7" x14ac:dyDescent="0.35">
      <c r="A2" s="63" t="s">
        <v>0</v>
      </c>
      <c r="B2" s="63"/>
      <c r="C2" s="63"/>
      <c r="D2" s="63"/>
    </row>
    <row r="4" spans="1:7" ht="18.5" x14ac:dyDescent="0.45">
      <c r="A4" s="3" t="s">
        <v>1</v>
      </c>
    </row>
    <row r="5" spans="1:7" x14ac:dyDescent="0.35">
      <c r="A5" s="4" t="s">
        <v>2</v>
      </c>
      <c r="B5" s="5" t="s">
        <v>3</v>
      </c>
    </row>
    <row r="6" spans="1:7" x14ac:dyDescent="0.35">
      <c r="A6" s="4" t="s">
        <v>4</v>
      </c>
      <c r="B6" s="5" t="s">
        <v>5</v>
      </c>
    </row>
    <row r="7" spans="1:7" x14ac:dyDescent="0.35">
      <c r="A7" s="4" t="s">
        <v>6</v>
      </c>
      <c r="B7" s="5" t="s">
        <v>7</v>
      </c>
    </row>
    <row r="8" spans="1:7" x14ac:dyDescent="0.35">
      <c r="A8" s="4" t="s">
        <v>8</v>
      </c>
      <c r="B8" s="5" t="s">
        <v>9</v>
      </c>
    </row>
    <row r="9" spans="1:7" x14ac:dyDescent="0.35">
      <c r="A9" s="4" t="s">
        <v>10</v>
      </c>
      <c r="B9" s="5" t="s">
        <v>11</v>
      </c>
    </row>
    <row r="11" spans="1:7" ht="18.5" x14ac:dyDescent="0.45">
      <c r="A11" s="3" t="s">
        <v>12</v>
      </c>
    </row>
    <row r="12" spans="1:7" x14ac:dyDescent="0.35">
      <c r="A12" s="6" t="s">
        <v>13</v>
      </c>
      <c r="B12" s="6" t="s">
        <v>14</v>
      </c>
    </row>
    <row r="13" spans="1:7" x14ac:dyDescent="0.35">
      <c r="A13" s="5" t="s">
        <v>15</v>
      </c>
      <c r="B13" s="5" t="s">
        <v>16</v>
      </c>
    </row>
    <row r="14" spans="1:7" x14ac:dyDescent="0.35">
      <c r="A14" s="7" t="s">
        <v>17</v>
      </c>
      <c r="B14" s="7" t="s">
        <v>18</v>
      </c>
    </row>
    <row r="15" spans="1:7" x14ac:dyDescent="0.35">
      <c r="A15" s="5" t="s">
        <v>19</v>
      </c>
      <c r="B15" s="5" t="s">
        <v>20</v>
      </c>
    </row>
    <row r="16" spans="1:7" x14ac:dyDescent="0.35">
      <c r="A16" s="7" t="s">
        <v>21</v>
      </c>
      <c r="B16" s="7" t="s">
        <v>22</v>
      </c>
    </row>
    <row r="17" spans="1:2" x14ac:dyDescent="0.35">
      <c r="A17" s="5" t="s">
        <v>23</v>
      </c>
      <c r="B17" s="5" t="s">
        <v>24</v>
      </c>
    </row>
    <row r="18" spans="1:2" x14ac:dyDescent="0.35">
      <c r="A18" s="7" t="s">
        <v>25</v>
      </c>
      <c r="B18" s="7" t="s">
        <v>26</v>
      </c>
    </row>
    <row r="19" spans="1:2" x14ac:dyDescent="0.35">
      <c r="A19" s="5" t="s">
        <v>27</v>
      </c>
      <c r="B19" s="5" t="s">
        <v>28</v>
      </c>
    </row>
    <row r="20" spans="1:2" x14ac:dyDescent="0.35">
      <c r="A20" s="33" t="s">
        <v>29</v>
      </c>
      <c r="B20" s="7" t="s">
        <v>30</v>
      </c>
    </row>
    <row r="21" spans="1:2" x14ac:dyDescent="0.35">
      <c r="A21" s="5" t="s">
        <v>31</v>
      </c>
      <c r="B21" s="5" t="s">
        <v>32</v>
      </c>
    </row>
    <row r="22" spans="1:2" x14ac:dyDescent="0.35">
      <c r="A22" s="7" t="s">
        <v>33</v>
      </c>
      <c r="B22" s="7" t="s">
        <v>34</v>
      </c>
    </row>
  </sheetData>
  <mergeCells count="2">
    <mergeCell ref="A1:G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47"/>
  <sheetViews>
    <sheetView topLeftCell="A29" workbookViewId="0">
      <selection activeCell="G7" sqref="G7"/>
    </sheetView>
  </sheetViews>
  <sheetFormatPr defaultRowHeight="14.5" x14ac:dyDescent="0.35"/>
  <cols>
    <col min="1" max="1" width="3" customWidth="1"/>
    <col min="2" max="4" width="16" customWidth="1"/>
    <col min="5" max="6" width="14" customWidth="1"/>
    <col min="7" max="17" width="13" customWidth="1"/>
  </cols>
  <sheetData>
    <row r="2" spans="2:12" ht="28" customHeight="1" x14ac:dyDescent="0.35">
      <c r="B2" s="52" t="s">
        <v>691</v>
      </c>
      <c r="C2" s="53"/>
      <c r="D2" s="53"/>
      <c r="E2" s="53"/>
      <c r="F2" s="53"/>
      <c r="G2" s="53"/>
      <c r="H2" s="53"/>
      <c r="I2" s="53"/>
      <c r="J2" s="53"/>
      <c r="K2" s="53"/>
      <c r="L2" s="53"/>
    </row>
    <row r="4" spans="2:12" x14ac:dyDescent="0.35">
      <c r="B4" s="51" t="s">
        <v>35</v>
      </c>
      <c r="C4" s="43"/>
      <c r="D4" s="43"/>
      <c r="E4" s="43"/>
      <c r="F4" s="43"/>
    </row>
    <row r="5" spans="2:12" x14ac:dyDescent="0.35">
      <c r="B5" s="35" t="s">
        <v>36</v>
      </c>
      <c r="C5" s="35" t="s">
        <v>37</v>
      </c>
      <c r="D5" s="35" t="s">
        <v>38</v>
      </c>
      <c r="E5" s="35" t="s">
        <v>39</v>
      </c>
      <c r="F5" s="36" t="s">
        <v>40</v>
      </c>
    </row>
    <row r="6" spans="2:12" x14ac:dyDescent="0.35">
      <c r="B6" s="37" t="s">
        <v>41</v>
      </c>
      <c r="C6" s="37" t="s">
        <v>41</v>
      </c>
      <c r="D6" s="37" t="s">
        <v>41</v>
      </c>
      <c r="E6" s="37" t="s">
        <v>41</v>
      </c>
      <c r="F6" s="38" t="s">
        <v>42</v>
      </c>
    </row>
    <row r="8" spans="2:12" x14ac:dyDescent="0.35">
      <c r="B8" s="64" t="s">
        <v>690</v>
      </c>
      <c r="C8" s="62"/>
      <c r="D8" s="62"/>
      <c r="E8" s="62"/>
      <c r="F8" s="62"/>
      <c r="G8" s="62"/>
      <c r="H8" s="62"/>
      <c r="I8" s="62"/>
      <c r="J8" s="62"/>
      <c r="K8" s="62"/>
    </row>
    <row r="9" spans="2:12" x14ac:dyDescent="0.35">
      <c r="B9" s="48" t="s">
        <v>43</v>
      </c>
      <c r="C9" s="49"/>
      <c r="D9" s="48" t="s">
        <v>44</v>
      </c>
      <c r="E9" s="49"/>
      <c r="F9" s="48" t="s">
        <v>45</v>
      </c>
      <c r="G9" s="49"/>
      <c r="H9" s="48" t="s">
        <v>46</v>
      </c>
      <c r="I9" s="49"/>
      <c r="J9" s="48" t="s">
        <v>47</v>
      </c>
      <c r="K9" s="49"/>
    </row>
    <row r="10" spans="2:12" ht="26" x14ac:dyDescent="0.6">
      <c r="B10" s="50">
        <f>SUMPRODUCT((SalesData[Region]=IF($B$6="(All)",SalesData[Region],$B$6))*(SalesData[Salesperson]=IF($C$6="(All)",SalesData[Salesperson],$C$6))*(SalesData[Category]=IF($D$6="(All)",SalesData[Category],$D$6))*(SalesData[MonthName]=IF($E$6="(All)",SalesData[MonthName],$E$6))*(SalesData[Revenue]))</f>
        <v>130054.11000000002</v>
      </c>
      <c r="C10" s="45"/>
      <c r="D10" s="50">
        <f>SUMPRODUCT((SalesData[Region]=IF($B$6="(All)",SalesData[Region],$B$6))*(SalesData[Salesperson]=IF($C$6="(All)",SalesData[Salesperson],$C$6))*(SalesData[Category]=IF($D$6="(All)",SalesData[Category],$D$6))*(SalesData[MonthName]=IF($E$6="(All)",SalesData[MonthName],$E$6))*(SalesData[Profit]))</f>
        <v>70267.110000000059</v>
      </c>
      <c r="E10" s="45"/>
      <c r="F10" s="46">
        <f>IF(B10=0,0,D10/B10)</f>
        <v>0.54029134488714003</v>
      </c>
      <c r="G10" s="45"/>
      <c r="H10" s="44">
        <f>SUMPRODUCT((SalesData[Region]=IF($B$6="(All)",SalesData[Region],$B$6))*(SalesData[Salesperson]=IF($C$6="(All)",SalesData[Salesperson],$C$6))*(SalesData[Category]=IF($D$6="(All)",SalesData[Category],$D$6))*(SalesData[MonthName]=IF($E$6="(All)",SalesData[MonthName],$E$6))*(SalesData[InvoiceID]&lt;&gt;""))</f>
        <v>420</v>
      </c>
      <c r="I10" s="45"/>
      <c r="J10" s="47">
        <f>IF(H10=0,0,B10/H10)</f>
        <v>309.65264285714289</v>
      </c>
      <c r="K10" s="45"/>
    </row>
    <row r="12" spans="2:12" x14ac:dyDescent="0.35">
      <c r="B12" s="39" t="s">
        <v>48</v>
      </c>
      <c r="C12" s="54" t="str">
        <f>CONCATENATE("Region=",B6," | Rep=",C6," | Category=",D6," | Month=",E6)</f>
        <v>Region=(All) | Rep=(All) | Category=(All) | Month=(All)</v>
      </c>
      <c r="D12" s="43"/>
      <c r="E12" s="43"/>
      <c r="F12" s="43"/>
      <c r="G12" s="43"/>
      <c r="H12" s="43"/>
    </row>
    <row r="14" spans="2:12" x14ac:dyDescent="0.35">
      <c r="B14" s="34" t="s">
        <v>49</v>
      </c>
      <c r="G14" s="34" t="s">
        <v>50</v>
      </c>
    </row>
    <row r="15" spans="2:12" x14ac:dyDescent="0.35">
      <c r="B15" s="40" t="s">
        <v>36</v>
      </c>
      <c r="C15" s="40" t="s">
        <v>51</v>
      </c>
      <c r="D15" s="40" t="s">
        <v>52</v>
      </c>
      <c r="E15" s="40" t="s">
        <v>46</v>
      </c>
      <c r="G15" s="40" t="s">
        <v>38</v>
      </c>
      <c r="H15" s="40" t="s">
        <v>51</v>
      </c>
      <c r="I15" s="40" t="s">
        <v>52</v>
      </c>
    </row>
    <row r="16" spans="2:12" x14ac:dyDescent="0.35">
      <c r="B16" t="s">
        <v>53</v>
      </c>
      <c r="C16" s="41">
        <f>SUMPRODUCT((SalesData[Region]=B16)*(SalesData[Salesperson]=IF($C$6="(All)",SalesData[Salesperson],$C$6))*(SalesData[Category]=IF($D$6="(All)",SalesData[Category],$D$6))*(SalesData[MonthName]=IF($E$6="(All)",SalesData[MonthName],$E$6))*(SalesData[Revenue]))</f>
        <v>30668.530000000006</v>
      </c>
      <c r="D16" s="41">
        <f>SUMPRODUCT((SalesData[Region]=B16)*(SalesData[Salesperson]=IF($C$6="(All)",SalesData[Salesperson],$C$6))*(SalesData[Category]=IF($D$6="(All)",SalesData[Category],$D$6))*(SalesData[MonthName]=IF($E$6="(All)",SalesData[MonthName],$E$6))*(SalesData[Profit]))</f>
        <v>16325.529999999993</v>
      </c>
      <c r="E16">
        <f>SUMPRODUCT((SalesData[Region]=B16)*(SalesData[Salesperson]=IF($C$6="(All)",SalesData[Salesperson],$C$6))*(SalesData[Category]=IF($D$6="(All)",SalesData[Category],$D$6))*(SalesData[MonthName]=IF($E$6="(All)",SalesData[MonthName],$E$6))*(SalesData[InvoiceID]&lt;&gt;""))</f>
        <v>93</v>
      </c>
      <c r="G16" t="s">
        <v>54</v>
      </c>
      <c r="H16" s="41">
        <f>SUMPRODUCT((SalesData[Category]=G16)*(SalesData[Region]=IF($B$6="(All)",SalesData[Region],$B$6))*(SalesData[Salesperson]=IF($C$6="(All)",SalesData[Salesperson],$C$6))*(SalesData[MonthName]=IF($E$6="(All)",SalesData[MonthName],$E$6))*(SalesData[Revenue]))</f>
        <v>53542.410000000025</v>
      </c>
      <c r="I16" s="41">
        <f>SUMPRODUCT((SalesData[Category]=G16)*(SalesData[Region]=IF($B$6="(All)",SalesData[Region],$B$6))*(SalesData[Salesperson]=IF($C$6="(All)",SalesData[Salesperson],$C$6))*(SalesData[MonthName]=IF($E$6="(All)",SalesData[MonthName],$E$6))*(SalesData[Profit]))</f>
        <v>27478.410000000003</v>
      </c>
    </row>
    <row r="17" spans="2:9" x14ac:dyDescent="0.35">
      <c r="B17" t="s">
        <v>55</v>
      </c>
      <c r="C17" s="41">
        <f>SUMPRODUCT((SalesData[Region]=B17)*(SalesData[Salesperson]=IF($C$6="(All)",SalesData[Salesperson],$C$6))*(SalesData[Category]=IF($D$6="(All)",SalesData[Category],$D$6))*(SalesData[MonthName]=IF($E$6="(All)",SalesData[MonthName],$E$6))*(SalesData[Revenue]))</f>
        <v>24135.089999999986</v>
      </c>
      <c r="D17" s="41">
        <f>SUMPRODUCT((SalesData[Region]=B17)*(SalesData[Salesperson]=IF($C$6="(All)",SalesData[Salesperson],$C$6))*(SalesData[Category]=IF($D$6="(All)",SalesData[Category],$D$6))*(SalesData[MonthName]=IF($E$6="(All)",SalesData[MonthName],$E$6))*(SalesData[Profit]))</f>
        <v>13496.090000000004</v>
      </c>
      <c r="E17">
        <f>SUMPRODUCT((SalesData[Region]=B17)*(SalesData[Salesperson]=IF($C$6="(All)",SalesData[Salesperson],$C$6))*(SalesData[Category]=IF($D$6="(All)",SalesData[Category],$D$6))*(SalesData[MonthName]=IF($E$6="(All)",SalesData[MonthName],$E$6))*(SalesData[InvoiceID]&lt;&gt;""))</f>
        <v>93</v>
      </c>
      <c r="G17" t="s">
        <v>56</v>
      </c>
      <c r="H17" s="41">
        <f>SUMPRODUCT((SalesData[Category]=G17)*(SalesData[Region]=IF($B$6="(All)",SalesData[Region],$B$6))*(SalesData[Salesperson]=IF($C$6="(All)",SalesData[Salesperson],$C$6))*(SalesData[MonthName]=IF($E$6="(All)",SalesData[MonthName],$E$6))*(SalesData[Revenue]))</f>
        <v>75001.040000000023</v>
      </c>
      <c r="I17" s="41">
        <f>SUMPRODUCT((SalesData[Category]=G17)*(SalesData[Region]=IF($B$6="(All)",SalesData[Region],$B$6))*(SalesData[Salesperson]=IF($C$6="(All)",SalesData[Salesperson],$C$6))*(SalesData[MonthName]=IF($E$6="(All)",SalesData[MonthName],$E$6))*(SalesData[Profit]))</f>
        <v>41746.04</v>
      </c>
    </row>
    <row r="18" spans="2:9" x14ac:dyDescent="0.35">
      <c r="B18" t="s">
        <v>57</v>
      </c>
      <c r="C18" s="41">
        <f>SUMPRODUCT((SalesData[Region]=B18)*(SalesData[Salesperson]=IF($C$6="(All)",SalesData[Salesperson],$C$6))*(SalesData[Category]=IF($D$6="(All)",SalesData[Category],$D$6))*(SalesData[MonthName]=IF($E$6="(All)",SalesData[MonthName],$E$6))*(SalesData[Revenue]))</f>
        <v>35514.749999999993</v>
      </c>
      <c r="D18" s="41">
        <f>SUMPRODUCT((SalesData[Region]=B18)*(SalesData[Salesperson]=IF($C$6="(All)",SalesData[Salesperson],$C$6))*(SalesData[Category]=IF($D$6="(All)",SalesData[Category],$D$6))*(SalesData[MonthName]=IF($E$6="(All)",SalesData[MonthName],$E$6))*(SalesData[Profit]))</f>
        <v>19650.749999999993</v>
      </c>
      <c r="E18">
        <f>SUMPRODUCT((SalesData[Region]=B18)*(SalesData[Salesperson]=IF($C$6="(All)",SalesData[Salesperson],$C$6))*(SalesData[Category]=IF($D$6="(All)",SalesData[Category],$D$6))*(SalesData[MonthName]=IF($E$6="(All)",SalesData[MonthName],$E$6))*(SalesData[InvoiceID]&lt;&gt;""))</f>
        <v>120</v>
      </c>
      <c r="G18" t="s">
        <v>58</v>
      </c>
      <c r="H18" s="41">
        <f>SUMPRODUCT((SalesData[Category]=G18)*(SalesData[Region]=IF($B$6="(All)",SalesData[Region],$B$6))*(SalesData[Salesperson]=IF($C$6="(All)",SalesData[Salesperson],$C$6))*(SalesData[MonthName]=IF($E$6="(All)",SalesData[MonthName],$E$6))*(SalesData[Revenue]))</f>
        <v>1510.6599999999999</v>
      </c>
      <c r="I18" s="41">
        <f>SUMPRODUCT((SalesData[Category]=G18)*(SalesData[Region]=IF($B$6="(All)",SalesData[Region],$B$6))*(SalesData[Salesperson]=IF($C$6="(All)",SalesData[Salesperson],$C$6))*(SalesData[MonthName]=IF($E$6="(All)",SalesData[MonthName],$E$6))*(SalesData[Profit]))</f>
        <v>1042.6600000000001</v>
      </c>
    </row>
    <row r="19" spans="2:9" x14ac:dyDescent="0.35">
      <c r="B19" t="s">
        <v>59</v>
      </c>
      <c r="C19" s="41">
        <f>SUMPRODUCT((SalesData[Region]=B19)*(SalesData[Salesperson]=IF($C$6="(All)",SalesData[Salesperson],$C$6))*(SalesData[Category]=IF($D$6="(All)",SalesData[Category],$D$6))*(SalesData[MonthName]=IF($E$6="(All)",SalesData[MonthName],$E$6))*(SalesData[Revenue]))</f>
        <v>39735.739999999991</v>
      </c>
      <c r="D19" s="41">
        <f>SUMPRODUCT((SalesData[Region]=B19)*(SalesData[Salesperson]=IF($C$6="(All)",SalesData[Salesperson],$C$6))*(SalesData[Category]=IF($D$6="(All)",SalesData[Category],$D$6))*(SalesData[MonthName]=IF($E$6="(All)",SalesData[MonthName],$E$6))*(SalesData[Profit]))</f>
        <v>20794.740000000005</v>
      </c>
      <c r="E19">
        <f>SUMPRODUCT((SalesData[Region]=B19)*(SalesData[Salesperson]=IF($C$6="(All)",SalesData[Salesperson],$C$6))*(SalesData[Category]=IF($D$6="(All)",SalesData[Category],$D$6))*(SalesData[MonthName]=IF($E$6="(All)",SalesData[MonthName],$E$6))*(SalesData[InvoiceID]&lt;&gt;""))</f>
        <v>114</v>
      </c>
    </row>
    <row r="22" spans="2:9" x14ac:dyDescent="0.35">
      <c r="B22" s="34" t="s">
        <v>60</v>
      </c>
    </row>
    <row r="23" spans="2:9" x14ac:dyDescent="0.35">
      <c r="B23" s="40" t="s">
        <v>37</v>
      </c>
      <c r="C23" s="40" t="s">
        <v>51</v>
      </c>
      <c r="D23" s="40" t="s">
        <v>52</v>
      </c>
      <c r="E23" s="40" t="s">
        <v>46</v>
      </c>
    </row>
    <row r="24" spans="2:9" x14ac:dyDescent="0.35">
      <c r="B24" t="s">
        <v>61</v>
      </c>
      <c r="C24" s="42">
        <f>SUMPRODUCT((SalesData[Salesperson]=B24)*(SalesData[Region]=IF($B$6="(All)",SalesData[Region],$B$6))*(SalesData[Category]=IF($D$6="(All)",SalesData[Category],$D$6))*(SalesData[MonthName]=IF($E$6="(All)",SalesData[MonthName],$E$6))*(SalesData[Revenue]))</f>
        <v>18182.780000000002</v>
      </c>
      <c r="D24" s="42">
        <f>SUMPRODUCT((SalesData[Salesperson]=B24)*(SalesData[Region]=IF($B$6="(All)",SalesData[Region],$B$6))*(SalesData[Category]=IF($D$6="(All)",SalesData[Category],$D$6))*(SalesData[MonthName]=IF($E$6="(All)",SalesData[MonthName],$E$6))*(SalesData[Profit]))</f>
        <v>9917.7799999999988</v>
      </c>
      <c r="E24">
        <f>SUMPRODUCT((SalesData[Salesperson]=B24)*(SalesData[Region]=IF($B$6="(All)",SalesData[Region],$B$6))*(SalesData[Category]=IF($D$6="(All)",SalesData[Category],$D$6))*(SalesData[MonthName]=IF($E$6="(All)",SalesData[MonthName],$E$6))*(SalesData[InvoiceID]&lt;&gt;""))</f>
        <v>63</v>
      </c>
    </row>
    <row r="25" spans="2:9" x14ac:dyDescent="0.35">
      <c r="B25" t="s">
        <v>62</v>
      </c>
      <c r="C25" s="42">
        <f>SUMPRODUCT((SalesData[Salesperson]=B25)*(SalesData[Region]=IF($B$6="(All)",SalesData[Region],$B$6))*(SalesData[Category]=IF($D$6="(All)",SalesData[Category],$D$6))*(SalesData[MonthName]=IF($E$6="(All)",SalesData[MonthName],$E$6))*(SalesData[Revenue]))</f>
        <v>14141.93</v>
      </c>
      <c r="D25" s="42">
        <f>SUMPRODUCT((SalesData[Salesperson]=B25)*(SalesData[Region]=IF($B$6="(All)",SalesData[Region],$B$6))*(SalesData[Category]=IF($D$6="(All)",SalesData[Category],$D$6))*(SalesData[MonthName]=IF($E$6="(All)",SalesData[MonthName],$E$6))*(SalesData[Profit]))</f>
        <v>7709.9299999999994</v>
      </c>
      <c r="E25">
        <f>SUMPRODUCT((SalesData[Salesperson]=B25)*(SalesData[Region]=IF($B$6="(All)",SalesData[Region],$B$6))*(SalesData[Category]=IF($D$6="(All)",SalesData[Category],$D$6))*(SalesData[MonthName]=IF($E$6="(All)",SalesData[MonthName],$E$6))*(SalesData[InvoiceID]&lt;&gt;""))</f>
        <v>55</v>
      </c>
    </row>
    <row r="26" spans="2:9" x14ac:dyDescent="0.35">
      <c r="B26" t="s">
        <v>63</v>
      </c>
      <c r="C26" s="42">
        <f>SUMPRODUCT((SalesData[Salesperson]=B26)*(SalesData[Region]=IF($B$6="(All)",SalesData[Region],$B$6))*(SalesData[Category]=IF($D$6="(All)",SalesData[Category],$D$6))*(SalesData[MonthName]=IF($E$6="(All)",SalesData[MonthName],$E$6))*(SalesData[Revenue]))</f>
        <v>13891.519999999997</v>
      </c>
      <c r="D26" s="42">
        <f>SUMPRODUCT((SalesData[Salesperson]=B26)*(SalesData[Region]=IF($B$6="(All)",SalesData[Region],$B$6))*(SalesData[Category]=IF($D$6="(All)",SalesData[Category],$D$6))*(SalesData[MonthName]=IF($E$6="(All)",SalesData[MonthName],$E$6))*(SalesData[Profit]))</f>
        <v>7588.5200000000023</v>
      </c>
      <c r="E26">
        <f>SUMPRODUCT((SalesData[Salesperson]=B26)*(SalesData[Region]=IF($B$6="(All)",SalesData[Region],$B$6))*(SalesData[Category]=IF($D$6="(All)",SalesData[Category],$D$6))*(SalesData[MonthName]=IF($E$6="(All)",SalesData[MonthName],$E$6))*(SalesData[InvoiceID]&lt;&gt;""))</f>
        <v>52</v>
      </c>
    </row>
    <row r="27" spans="2:9" x14ac:dyDescent="0.35">
      <c r="B27" t="s">
        <v>64</v>
      </c>
      <c r="C27" s="42">
        <f>SUMPRODUCT((SalesData[Salesperson]=B27)*(SalesData[Region]=IF($B$6="(All)",SalesData[Region],$B$6))*(SalesData[Category]=IF($D$6="(All)",SalesData[Category],$D$6))*(SalesData[MonthName]=IF($E$6="(All)",SalesData[MonthName],$E$6))*(SalesData[Revenue]))</f>
        <v>15205.839999999998</v>
      </c>
      <c r="D27" s="42">
        <f>SUMPRODUCT((SalesData[Salesperson]=B27)*(SalesData[Region]=IF($B$6="(All)",SalesData[Region],$B$6))*(SalesData[Category]=IF($D$6="(All)",SalesData[Category],$D$6))*(SalesData[MonthName]=IF($E$6="(All)",SalesData[MonthName],$E$6))*(SalesData[Profit]))</f>
        <v>8034.8399999999983</v>
      </c>
      <c r="E27">
        <f>SUMPRODUCT((SalesData[Salesperson]=B27)*(SalesData[Region]=IF($B$6="(All)",SalesData[Region],$B$6))*(SalesData[Category]=IF($D$6="(All)",SalesData[Category],$D$6))*(SalesData[MonthName]=IF($E$6="(All)",SalesData[MonthName],$E$6))*(SalesData[InvoiceID]&lt;&gt;""))</f>
        <v>46</v>
      </c>
    </row>
    <row r="28" spans="2:9" x14ac:dyDescent="0.35">
      <c r="B28" t="s">
        <v>65</v>
      </c>
      <c r="C28" s="42">
        <f>SUMPRODUCT((SalesData[Salesperson]=B28)*(SalesData[Region]=IF($B$6="(All)",SalesData[Region],$B$6))*(SalesData[Category]=IF($D$6="(All)",SalesData[Category],$D$6))*(SalesData[MonthName]=IF($E$6="(All)",SalesData[MonthName],$E$6))*(SalesData[Revenue]))</f>
        <v>12862.7</v>
      </c>
      <c r="D28" s="42">
        <f>SUMPRODUCT((SalesData[Salesperson]=B28)*(SalesData[Region]=IF($B$6="(All)",SalesData[Region],$B$6))*(SalesData[Category]=IF($D$6="(All)",SalesData[Category],$D$6))*(SalesData[MonthName]=IF($E$6="(All)",SalesData[MonthName],$E$6))*(SalesData[Profit]))</f>
        <v>7191.6999999999971</v>
      </c>
      <c r="E28">
        <f>SUMPRODUCT((SalesData[Salesperson]=B28)*(SalesData[Region]=IF($B$6="(All)",SalesData[Region],$B$6))*(SalesData[Category]=IF($D$6="(All)",SalesData[Category],$D$6))*(SalesData[MonthName]=IF($E$6="(All)",SalesData[MonthName],$E$6))*(SalesData[InvoiceID]&lt;&gt;""))</f>
        <v>40</v>
      </c>
    </row>
    <row r="29" spans="2:9" x14ac:dyDescent="0.35">
      <c r="B29" t="s">
        <v>66</v>
      </c>
      <c r="C29" s="42">
        <f>SUMPRODUCT((SalesData[Salesperson]=B29)*(SalesData[Region]=IF($B$6="(All)",SalesData[Region],$B$6))*(SalesData[Category]=IF($D$6="(All)",SalesData[Category],$D$6))*(SalesData[MonthName]=IF($E$6="(All)",SalesData[MonthName],$E$6))*(SalesData[Revenue]))</f>
        <v>21322.199999999997</v>
      </c>
      <c r="D29" s="42">
        <f>SUMPRODUCT((SalesData[Salesperson]=B29)*(SalesData[Region]=IF($B$6="(All)",SalesData[Region],$B$6))*(SalesData[Category]=IF($D$6="(All)",SalesData[Category],$D$6))*(SalesData[MonthName]=IF($E$6="(All)",SalesData[MonthName],$E$6))*(SalesData[Profit]))</f>
        <v>11710.2</v>
      </c>
      <c r="E29">
        <f>SUMPRODUCT((SalesData[Salesperson]=B29)*(SalesData[Region]=IF($B$6="(All)",SalesData[Region],$B$6))*(SalesData[Category]=IF($D$6="(All)",SalesData[Category],$D$6))*(SalesData[MonthName]=IF($E$6="(All)",SalesData[MonthName],$E$6))*(SalesData[InvoiceID]&lt;&gt;""))</f>
        <v>59</v>
      </c>
    </row>
    <row r="30" spans="2:9" x14ac:dyDescent="0.35">
      <c r="B30" t="s">
        <v>67</v>
      </c>
      <c r="C30" s="42">
        <f>SUMPRODUCT((SalesData[Salesperson]=B30)*(SalesData[Region]=IF($B$6="(All)",SalesData[Region],$B$6))*(SalesData[Category]=IF($D$6="(All)",SalesData[Category],$D$6))*(SalesData[MonthName]=IF($E$6="(All)",SalesData[MonthName],$E$6))*(SalesData[Revenue]))</f>
        <v>15670.559999999998</v>
      </c>
      <c r="D30" s="42">
        <f>SUMPRODUCT((SalesData[Salesperson]=B30)*(SalesData[Region]=IF($B$6="(All)",SalesData[Region],$B$6))*(SalesData[Category]=IF($D$6="(All)",SalesData[Category],$D$6))*(SalesData[MonthName]=IF($E$6="(All)",SalesData[MonthName],$E$6))*(SalesData[Profit]))</f>
        <v>8436.56</v>
      </c>
      <c r="E30">
        <f>SUMPRODUCT((SalesData[Salesperson]=B30)*(SalesData[Region]=IF($B$6="(All)",SalesData[Region],$B$6))*(SalesData[Category]=IF($D$6="(All)",SalesData[Category],$D$6))*(SalesData[MonthName]=IF($E$6="(All)",SalesData[MonthName],$E$6))*(SalesData[InvoiceID]&lt;&gt;""))</f>
        <v>50</v>
      </c>
    </row>
    <row r="31" spans="2:9" x14ac:dyDescent="0.35">
      <c r="B31" t="s">
        <v>68</v>
      </c>
      <c r="C31" s="42">
        <f>SUMPRODUCT((SalesData[Salesperson]=B31)*(SalesData[Region]=IF($B$6="(All)",SalesData[Region],$B$6))*(SalesData[Category]=IF($D$6="(All)",SalesData[Category],$D$6))*(SalesData[MonthName]=IF($E$6="(All)",SalesData[MonthName],$E$6))*(SalesData[Revenue]))</f>
        <v>18776.580000000002</v>
      </c>
      <c r="D31" s="42">
        <f>SUMPRODUCT((SalesData[Salesperson]=B31)*(SalesData[Region]=IF($B$6="(All)",SalesData[Region],$B$6))*(SalesData[Category]=IF($D$6="(All)",SalesData[Category],$D$6))*(SalesData[MonthName]=IF($E$6="(All)",SalesData[MonthName],$E$6))*(SalesData[Profit]))</f>
        <v>9677.58</v>
      </c>
      <c r="E31">
        <f>SUMPRODUCT((SalesData[Salesperson]=B31)*(SalesData[Region]=IF($B$6="(All)",SalesData[Region],$B$6))*(SalesData[Category]=IF($D$6="(All)",SalesData[Category],$D$6))*(SalesData[MonthName]=IF($E$6="(All)",SalesData[MonthName],$E$6))*(SalesData[InvoiceID]&lt;&gt;""))</f>
        <v>55</v>
      </c>
    </row>
    <row r="34" spans="2:4" x14ac:dyDescent="0.35">
      <c r="B34" s="34" t="s">
        <v>69</v>
      </c>
    </row>
    <row r="35" spans="2:4" x14ac:dyDescent="0.35">
      <c r="B35" s="40" t="s">
        <v>39</v>
      </c>
      <c r="C35" s="40" t="s">
        <v>51</v>
      </c>
      <c r="D35" s="40" t="s">
        <v>52</v>
      </c>
    </row>
    <row r="36" spans="2:4" x14ac:dyDescent="0.35">
      <c r="B36" t="s">
        <v>70</v>
      </c>
      <c r="C36" s="41">
        <f>SUMPRODUCT((SalesData[MonthName]=B36)*(SalesData[Region]=IF($B$6="(All)",SalesData[Region],$B$6))*(SalesData[Salesperson]=IF($C$6="(All)",SalesData[Salesperson],$C$6))*(SalesData[Category]=IF($D$6="(All)",SalesData[Category],$D$6))*(SalesData[Revenue]))</f>
        <v>9611.1000000000022</v>
      </c>
      <c r="D36" s="41">
        <f>SUMPRODUCT((SalesData[MonthName]=B36)*(SalesData[Region]=IF($B$6="(All)",SalesData[Region],$B$6))*(SalesData[Salesperson]=IF($C$6="(All)",SalesData[Salesperson],$C$6))*(SalesData[Category]=IF($D$6="(All)",SalesData[Category],$D$6))*(SalesData[Profit]))</f>
        <v>5009.0999999999985</v>
      </c>
    </row>
    <row r="37" spans="2:4" x14ac:dyDescent="0.35">
      <c r="B37" t="s">
        <v>71</v>
      </c>
      <c r="C37" s="41">
        <f>SUMPRODUCT((SalesData[MonthName]=B37)*(SalesData[Region]=IF($B$6="(All)",SalesData[Region],$B$6))*(SalesData[Salesperson]=IF($C$6="(All)",SalesData[Salesperson],$C$6))*(SalesData[Category]=IF($D$6="(All)",SalesData[Category],$D$6))*(SalesData[Revenue]))</f>
        <v>10884.69</v>
      </c>
      <c r="D37" s="41">
        <f>SUMPRODUCT((SalesData[MonthName]=B37)*(SalesData[Region]=IF($B$6="(All)",SalesData[Region],$B$6))*(SalesData[Salesperson]=IF($C$6="(All)",SalesData[Salesperson],$C$6))*(SalesData[Category]=IF($D$6="(All)",SalesData[Category],$D$6))*(SalesData[Profit]))</f>
        <v>4628.6899999999987</v>
      </c>
    </row>
    <row r="38" spans="2:4" x14ac:dyDescent="0.35">
      <c r="B38" t="s">
        <v>72</v>
      </c>
      <c r="C38" s="41">
        <f>SUMPRODUCT((SalesData[MonthName]=B38)*(SalesData[Region]=IF($B$6="(All)",SalesData[Region],$B$6))*(SalesData[Salesperson]=IF($C$6="(All)",SalesData[Salesperson],$C$6))*(SalesData[Category]=IF($D$6="(All)",SalesData[Category],$D$6))*(SalesData[Revenue]))</f>
        <v>15226.390000000001</v>
      </c>
      <c r="D38" s="41">
        <f>SUMPRODUCT((SalesData[MonthName]=B38)*(SalesData[Region]=IF($B$6="(All)",SalesData[Region],$B$6))*(SalesData[Salesperson]=IF($C$6="(All)",SalesData[Salesperson],$C$6))*(SalesData[Category]=IF($D$6="(All)",SalesData[Category],$D$6))*(SalesData[Profit]))</f>
        <v>7704.3900000000012</v>
      </c>
    </row>
    <row r="39" spans="2:4" x14ac:dyDescent="0.35">
      <c r="B39" t="s">
        <v>73</v>
      </c>
      <c r="C39" s="41">
        <f>SUMPRODUCT((SalesData[MonthName]=B39)*(SalesData[Region]=IF($B$6="(All)",SalesData[Region],$B$6))*(SalesData[Salesperson]=IF($C$6="(All)",SalesData[Salesperson],$C$6))*(SalesData[Category]=IF($D$6="(All)",SalesData[Category],$D$6))*(SalesData[Revenue]))</f>
        <v>7289.1799999999994</v>
      </c>
      <c r="D39" s="41">
        <f>SUMPRODUCT((SalesData[MonthName]=B39)*(SalesData[Region]=IF($B$6="(All)",SalesData[Region],$B$6))*(SalesData[Salesperson]=IF($C$6="(All)",SalesData[Salesperson],$C$6))*(SalesData[Category]=IF($D$6="(All)",SalesData[Category],$D$6))*(SalesData[Profit]))</f>
        <v>3135.18</v>
      </c>
    </row>
    <row r="40" spans="2:4" x14ac:dyDescent="0.35">
      <c r="B40" t="s">
        <v>74</v>
      </c>
      <c r="C40" s="41">
        <f>SUMPRODUCT((SalesData[MonthName]=B40)*(SalesData[Region]=IF($B$6="(All)",SalesData[Region],$B$6))*(SalesData[Salesperson]=IF($C$6="(All)",SalesData[Salesperson],$C$6))*(SalesData[Category]=IF($D$6="(All)",SalesData[Category],$D$6))*(SalesData[Revenue]))</f>
        <v>10652.83</v>
      </c>
      <c r="D40" s="41">
        <f>SUMPRODUCT((SalesData[MonthName]=B40)*(SalesData[Region]=IF($B$6="(All)",SalesData[Region],$B$6))*(SalesData[Salesperson]=IF($C$6="(All)",SalesData[Salesperson],$C$6))*(SalesData[Category]=IF($D$6="(All)",SalesData[Category],$D$6))*(SalesData[Profit]))</f>
        <v>5523.83</v>
      </c>
    </row>
    <row r="41" spans="2:4" x14ac:dyDescent="0.35">
      <c r="B41" t="s">
        <v>75</v>
      </c>
      <c r="C41" s="41">
        <f>SUMPRODUCT((SalesData[MonthName]=B41)*(SalesData[Region]=IF($B$6="(All)",SalesData[Region],$B$6))*(SalesData[Salesperson]=IF($C$6="(All)",SalesData[Salesperson],$C$6))*(SalesData[Category]=IF($D$6="(All)",SalesData[Category],$D$6))*(SalesData[Revenue]))</f>
        <v>10629.510000000002</v>
      </c>
      <c r="D41" s="41">
        <f>SUMPRODUCT((SalesData[MonthName]=B41)*(SalesData[Region]=IF($B$6="(All)",SalesData[Region],$B$6))*(SalesData[Salesperson]=IF($C$6="(All)",SalesData[Salesperson],$C$6))*(SalesData[Category]=IF($D$6="(All)",SalesData[Category],$D$6))*(SalesData[Profit]))</f>
        <v>6970.5099999999984</v>
      </c>
    </row>
    <row r="42" spans="2:4" x14ac:dyDescent="0.35">
      <c r="B42" t="s">
        <v>76</v>
      </c>
      <c r="C42" s="41">
        <f>SUMPRODUCT((SalesData[MonthName]=B42)*(SalesData[Region]=IF($B$6="(All)",SalesData[Region],$B$6))*(SalesData[Salesperson]=IF($C$6="(All)",SalesData[Salesperson],$C$6))*(SalesData[Category]=IF($D$6="(All)",SalesData[Category],$D$6))*(SalesData[Revenue]))</f>
        <v>6289.33</v>
      </c>
      <c r="D42" s="41">
        <f>SUMPRODUCT((SalesData[MonthName]=B42)*(SalesData[Region]=IF($B$6="(All)",SalesData[Region],$B$6))*(SalesData[Salesperson]=IF($C$6="(All)",SalesData[Salesperson],$C$6))*(SalesData[Category]=IF($D$6="(All)",SalesData[Category],$D$6))*(SalesData[Profit]))</f>
        <v>2655.3300000000004</v>
      </c>
    </row>
    <row r="43" spans="2:4" x14ac:dyDescent="0.35">
      <c r="B43" t="s">
        <v>77</v>
      </c>
      <c r="C43" s="41">
        <f>SUMPRODUCT((SalesData[MonthName]=B43)*(SalesData[Region]=IF($B$6="(All)",SalesData[Region],$B$6))*(SalesData[Salesperson]=IF($C$6="(All)",SalesData[Salesperson],$C$6))*(SalesData[Category]=IF($D$6="(All)",SalesData[Category],$D$6))*(SalesData[Revenue]))</f>
        <v>6775.23</v>
      </c>
      <c r="D43" s="41">
        <f>SUMPRODUCT((SalesData[MonthName]=B43)*(SalesData[Region]=IF($B$6="(All)",SalesData[Region],$B$6))*(SalesData[Salesperson]=IF($C$6="(All)",SalesData[Salesperson],$C$6))*(SalesData[Category]=IF($D$6="(All)",SalesData[Category],$D$6))*(SalesData[Profit]))</f>
        <v>3601.23</v>
      </c>
    </row>
    <row r="44" spans="2:4" x14ac:dyDescent="0.35">
      <c r="B44" t="s">
        <v>78</v>
      </c>
      <c r="C44" s="41">
        <f>SUMPRODUCT((SalesData[MonthName]=B44)*(SalesData[Region]=IF($B$6="(All)",SalesData[Region],$B$6))*(SalesData[Salesperson]=IF($C$6="(All)",SalesData[Salesperson],$C$6))*(SalesData[Category]=IF($D$6="(All)",SalesData[Category],$D$6))*(SalesData[Revenue]))</f>
        <v>10190.929999999998</v>
      </c>
      <c r="D44" s="41">
        <f>SUMPRODUCT((SalesData[MonthName]=B44)*(SalesData[Region]=IF($B$6="(All)",SalesData[Region],$B$6))*(SalesData[Salesperson]=IF($C$6="(All)",SalesData[Salesperson],$C$6))*(SalesData[Category]=IF($D$6="(All)",SalesData[Category],$D$6))*(SalesData[Profit]))</f>
        <v>5384.93</v>
      </c>
    </row>
    <row r="45" spans="2:4" x14ac:dyDescent="0.35">
      <c r="B45" t="s">
        <v>79</v>
      </c>
      <c r="C45" s="41">
        <f>SUMPRODUCT((SalesData[MonthName]=B45)*(SalesData[Region]=IF($B$6="(All)",SalesData[Region],$B$6))*(SalesData[Salesperson]=IF($C$6="(All)",SalesData[Salesperson],$C$6))*(SalesData[Category]=IF($D$6="(All)",SalesData[Category],$D$6))*(SalesData[Revenue]))</f>
        <v>16865.899999999998</v>
      </c>
      <c r="D45" s="41">
        <f>SUMPRODUCT((SalesData[MonthName]=B45)*(SalesData[Region]=IF($B$6="(All)",SalesData[Region],$B$6))*(SalesData[Salesperson]=IF($C$6="(All)",SalesData[Salesperson],$C$6))*(SalesData[Category]=IF($D$6="(All)",SalesData[Category],$D$6))*(SalesData[Profit]))</f>
        <v>10795.900000000001</v>
      </c>
    </row>
    <row r="46" spans="2:4" x14ac:dyDescent="0.35">
      <c r="B46" t="s">
        <v>80</v>
      </c>
      <c r="C46" s="41">
        <f>SUMPRODUCT((SalesData[MonthName]=B46)*(SalesData[Region]=IF($B$6="(All)",SalesData[Region],$B$6))*(SalesData[Salesperson]=IF($C$6="(All)",SalesData[Salesperson],$C$6))*(SalesData[Category]=IF($D$6="(All)",SalesData[Category],$D$6))*(SalesData[Revenue]))</f>
        <v>7774.9400000000005</v>
      </c>
      <c r="D46" s="41">
        <f>SUMPRODUCT((SalesData[MonthName]=B46)*(SalesData[Region]=IF($B$6="(All)",SalesData[Region],$B$6))*(SalesData[Salesperson]=IF($C$6="(All)",SalesData[Salesperson],$C$6))*(SalesData[Category]=IF($D$6="(All)",SalesData[Category],$D$6))*(SalesData[Profit]))</f>
        <v>3444.9399999999996</v>
      </c>
    </row>
    <row r="47" spans="2:4" x14ac:dyDescent="0.35">
      <c r="B47" t="s">
        <v>81</v>
      </c>
      <c r="C47" s="41">
        <f>SUMPRODUCT((SalesData[MonthName]=B47)*(SalesData[Region]=IF($B$6="(All)",SalesData[Region],$B$6))*(SalesData[Salesperson]=IF($C$6="(All)",SalesData[Salesperson],$C$6))*(SalesData[Category]=IF($D$6="(All)",SalesData[Category],$D$6))*(SalesData[Revenue]))</f>
        <v>17864.080000000002</v>
      </c>
      <c r="D47" s="41">
        <f>SUMPRODUCT((SalesData[MonthName]=B47)*(SalesData[Region]=IF($B$6="(All)",SalesData[Region],$B$6))*(SalesData[Salesperson]=IF($C$6="(All)",SalesData[Salesperson],$C$6))*(SalesData[Category]=IF($D$6="(All)",SalesData[Category],$D$6))*(SalesData[Profit]))</f>
        <v>11413.08</v>
      </c>
    </row>
  </sheetData>
  <mergeCells count="14">
    <mergeCell ref="B2:L2"/>
    <mergeCell ref="J9:K9"/>
    <mergeCell ref="C12:H12"/>
    <mergeCell ref="B8:K8"/>
    <mergeCell ref="D10:E10"/>
    <mergeCell ref="H9:I9"/>
    <mergeCell ref="B9:C9"/>
    <mergeCell ref="B4:F4"/>
    <mergeCell ref="H10:I10"/>
    <mergeCell ref="F10:G10"/>
    <mergeCell ref="J10:K10"/>
    <mergeCell ref="D9:E9"/>
    <mergeCell ref="B10:C10"/>
    <mergeCell ref="F9:G9"/>
  </mergeCell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100-000000000000}">
          <x14:formula1>
            <xm:f>FilterLists!$G$2:$G$6</xm:f>
          </x14:formula1>
          <xm:sqref>B6</xm:sqref>
        </x14:dataValidation>
        <x14:dataValidation type="list" xr:uid="{00000000-0002-0000-0100-000001000000}">
          <x14:formula1>
            <xm:f>FilterLists!$H$2:$H$10</xm:f>
          </x14:formula1>
          <xm:sqref>C6</xm:sqref>
        </x14:dataValidation>
        <x14:dataValidation type="list" xr:uid="{00000000-0002-0000-0100-000002000000}">
          <x14:formula1>
            <xm:f>FilterLists!$I$2:$I$5</xm:f>
          </x14:formula1>
          <xm:sqref>D6</xm:sqref>
        </x14:dataValidation>
        <x14:dataValidation type="list" xr:uid="{00000000-0002-0000-0100-000003000000}">
          <x14:formula1>
            <xm:f>FilterLists!$J$2:$J$14</xm:f>
          </x14:formula1>
          <xm:sqref>E6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J68"/>
  <sheetViews>
    <sheetView showGridLines="0" topLeftCell="A51" zoomScale="81" zoomScaleNormal="81" workbookViewId="0">
      <selection activeCell="K67" sqref="K67"/>
    </sheetView>
  </sheetViews>
  <sheetFormatPr defaultRowHeight="14.5" x14ac:dyDescent="0.35"/>
  <cols>
    <col min="1" max="1" width="3" customWidth="1"/>
    <col min="2" max="19" width="12" customWidth="1"/>
  </cols>
  <sheetData>
    <row r="2" spans="2:36" ht="28.5" x14ac:dyDescent="0.65">
      <c r="B2" s="56" t="s">
        <v>82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AA2" t="s">
        <v>39</v>
      </c>
      <c r="AB2" t="s">
        <v>51</v>
      </c>
      <c r="AC2" t="s">
        <v>36</v>
      </c>
      <c r="AD2" t="s">
        <v>51</v>
      </c>
      <c r="AE2" t="s">
        <v>37</v>
      </c>
      <c r="AF2" t="s">
        <v>51</v>
      </c>
      <c r="AG2" t="s">
        <v>83</v>
      </c>
      <c r="AH2" t="s">
        <v>51</v>
      </c>
      <c r="AI2" t="s">
        <v>84</v>
      </c>
      <c r="AJ2" t="s">
        <v>85</v>
      </c>
    </row>
    <row r="3" spans="2:36" x14ac:dyDescent="0.35">
      <c r="B3" s="8" t="s">
        <v>86</v>
      </c>
      <c r="AA3" t="s">
        <v>70</v>
      </c>
      <c r="AB3" s="9">
        <v>9611.1</v>
      </c>
      <c r="AC3" t="s">
        <v>59</v>
      </c>
      <c r="AD3" s="9">
        <v>39735.74</v>
      </c>
      <c r="AE3" t="s">
        <v>66</v>
      </c>
      <c r="AF3" s="9">
        <v>21322.2</v>
      </c>
      <c r="AG3" t="s">
        <v>87</v>
      </c>
      <c r="AH3" s="9">
        <v>15688.08</v>
      </c>
      <c r="AI3" t="s">
        <v>88</v>
      </c>
      <c r="AJ3">
        <v>391</v>
      </c>
    </row>
    <row r="4" spans="2:36" x14ac:dyDescent="0.35">
      <c r="AA4" t="s">
        <v>71</v>
      </c>
      <c r="AB4" s="9">
        <v>10884.69</v>
      </c>
      <c r="AC4" t="s">
        <v>57</v>
      </c>
      <c r="AD4" s="9">
        <v>35514.75</v>
      </c>
      <c r="AE4" t="s">
        <v>68</v>
      </c>
      <c r="AF4" s="9">
        <v>18776.580000000002</v>
      </c>
      <c r="AG4" t="s">
        <v>89</v>
      </c>
      <c r="AH4" s="9">
        <v>11880.17</v>
      </c>
      <c r="AI4" t="s">
        <v>90</v>
      </c>
      <c r="AJ4">
        <v>28</v>
      </c>
    </row>
    <row r="5" spans="2:36" x14ac:dyDescent="0.35">
      <c r="B5" s="10" t="s">
        <v>43</v>
      </c>
      <c r="C5" s="11"/>
      <c r="D5" s="11"/>
      <c r="E5" s="10" t="s">
        <v>44</v>
      </c>
      <c r="F5" s="11"/>
      <c r="G5" s="11"/>
      <c r="H5" s="10" t="s">
        <v>45</v>
      </c>
      <c r="I5" s="11"/>
      <c r="J5" s="11"/>
      <c r="K5" s="10" t="s">
        <v>46</v>
      </c>
      <c r="L5" s="11"/>
      <c r="M5" s="11"/>
      <c r="N5" s="10" t="s">
        <v>47</v>
      </c>
      <c r="O5" s="11"/>
      <c r="P5" s="11"/>
      <c r="AA5" t="s">
        <v>72</v>
      </c>
      <c r="AB5" s="9">
        <v>15226.39</v>
      </c>
      <c r="AC5" t="s">
        <v>53</v>
      </c>
      <c r="AD5" s="9">
        <v>30668.53</v>
      </c>
      <c r="AE5" t="s">
        <v>61</v>
      </c>
      <c r="AF5" s="9">
        <v>18182.78</v>
      </c>
      <c r="AG5" t="s">
        <v>91</v>
      </c>
      <c r="AH5" s="9">
        <v>11642.84</v>
      </c>
      <c r="AI5" t="s">
        <v>92</v>
      </c>
      <c r="AJ5">
        <v>1</v>
      </c>
    </row>
    <row r="6" spans="2:36" ht="23.5" x14ac:dyDescent="0.55000000000000004">
      <c r="B6" s="55" t="s">
        <v>93</v>
      </c>
      <c r="C6" s="43"/>
      <c r="D6" s="43"/>
      <c r="E6" s="55" t="s">
        <v>94</v>
      </c>
      <c r="F6" s="43"/>
      <c r="G6" s="43"/>
      <c r="H6" s="55" t="s">
        <v>95</v>
      </c>
      <c r="I6" s="43"/>
      <c r="J6" s="43"/>
      <c r="K6" s="55" t="s">
        <v>96</v>
      </c>
      <c r="L6" s="43"/>
      <c r="M6" s="43"/>
      <c r="N6" s="55" t="s">
        <v>97</v>
      </c>
      <c r="O6" s="43"/>
      <c r="P6" s="43"/>
      <c r="AA6" t="s">
        <v>73</v>
      </c>
      <c r="AB6" s="9">
        <v>7289.18</v>
      </c>
      <c r="AC6" t="s">
        <v>55</v>
      </c>
      <c r="AD6" s="9">
        <v>24135.09</v>
      </c>
      <c r="AE6" t="s">
        <v>67</v>
      </c>
      <c r="AF6" s="9">
        <v>15670.56</v>
      </c>
      <c r="AG6" t="s">
        <v>98</v>
      </c>
      <c r="AH6" s="9">
        <v>9810.18</v>
      </c>
      <c r="AI6" t="s">
        <v>99</v>
      </c>
      <c r="AJ6">
        <v>0</v>
      </c>
    </row>
    <row r="7" spans="2:36" x14ac:dyDescent="0.35"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AA7" t="s">
        <v>74</v>
      </c>
      <c r="AB7" s="9">
        <v>10652.83</v>
      </c>
      <c r="AE7" t="s">
        <v>64</v>
      </c>
      <c r="AF7" s="9">
        <v>15205.84</v>
      </c>
      <c r="AG7" t="s">
        <v>100</v>
      </c>
      <c r="AH7" s="9">
        <v>9510.23</v>
      </c>
      <c r="AI7" t="s">
        <v>101</v>
      </c>
      <c r="AJ7">
        <v>0</v>
      </c>
    </row>
    <row r="8" spans="2:36" x14ac:dyDescent="0.35">
      <c r="AA8" t="s">
        <v>75</v>
      </c>
      <c r="AB8" s="9">
        <v>10629.51</v>
      </c>
      <c r="AE8" t="s">
        <v>62</v>
      </c>
      <c r="AF8" s="9">
        <v>14141.93</v>
      </c>
    </row>
    <row r="9" spans="2:36" x14ac:dyDescent="0.35">
      <c r="AA9" t="s">
        <v>76</v>
      </c>
      <c r="AB9" s="9">
        <v>6289.33</v>
      </c>
      <c r="AE9" t="s">
        <v>63</v>
      </c>
      <c r="AF9" s="9">
        <v>13891.52</v>
      </c>
    </row>
    <row r="10" spans="2:36" x14ac:dyDescent="0.35">
      <c r="AA10" t="s">
        <v>77</v>
      </c>
      <c r="AB10" s="9">
        <v>6775.23</v>
      </c>
      <c r="AE10" t="s">
        <v>65</v>
      </c>
      <c r="AF10" s="9">
        <v>12862.7</v>
      </c>
    </row>
    <row r="11" spans="2:36" x14ac:dyDescent="0.35">
      <c r="AA11" t="s">
        <v>78</v>
      </c>
      <c r="AB11" s="9">
        <v>10190.93</v>
      </c>
    </row>
    <row r="12" spans="2:36" x14ac:dyDescent="0.35">
      <c r="AA12" t="s">
        <v>79</v>
      </c>
      <c r="AB12" s="9">
        <v>16865.900000000001</v>
      </c>
    </row>
    <row r="13" spans="2:36" x14ac:dyDescent="0.35">
      <c r="AA13" t="s">
        <v>80</v>
      </c>
      <c r="AB13" s="9">
        <v>7774.94</v>
      </c>
    </row>
    <row r="14" spans="2:36" x14ac:dyDescent="0.35">
      <c r="AA14" t="s">
        <v>81</v>
      </c>
      <c r="AB14" s="9">
        <v>17864.080000000002</v>
      </c>
    </row>
    <row r="52" spans="2:4" x14ac:dyDescent="0.35">
      <c r="B52" s="8"/>
    </row>
    <row r="53" spans="2:4" x14ac:dyDescent="0.35">
      <c r="B53" s="12" t="s">
        <v>102</v>
      </c>
      <c r="D53" s="12" t="s">
        <v>103</v>
      </c>
    </row>
    <row r="54" spans="2:4" x14ac:dyDescent="0.35">
      <c r="B54" s="13" t="s">
        <v>53</v>
      </c>
      <c r="D54" s="13" t="s">
        <v>67</v>
      </c>
    </row>
    <row r="55" spans="2:4" x14ac:dyDescent="0.35">
      <c r="B55" s="13" t="s">
        <v>55</v>
      </c>
      <c r="D55" s="13" t="s">
        <v>62</v>
      </c>
    </row>
    <row r="56" spans="2:4" x14ac:dyDescent="0.35">
      <c r="B56" s="13" t="s">
        <v>57</v>
      </c>
      <c r="D56" s="13" t="s">
        <v>61</v>
      </c>
    </row>
    <row r="57" spans="2:4" x14ac:dyDescent="0.35">
      <c r="B57" s="13" t="s">
        <v>59</v>
      </c>
      <c r="D57" s="13" t="s">
        <v>65</v>
      </c>
    </row>
    <row r="58" spans="2:4" x14ac:dyDescent="0.35">
      <c r="D58" s="13" t="s">
        <v>64</v>
      </c>
    </row>
    <row r="59" spans="2:4" x14ac:dyDescent="0.35">
      <c r="D59" s="13" t="s">
        <v>66</v>
      </c>
    </row>
    <row r="60" spans="2:4" x14ac:dyDescent="0.35">
      <c r="D60" s="13" t="s">
        <v>68</v>
      </c>
    </row>
    <row r="61" spans="2:4" x14ac:dyDescent="0.35">
      <c r="D61" s="13" t="s">
        <v>63</v>
      </c>
    </row>
    <row r="63" spans="2:4" ht="18.5" x14ac:dyDescent="0.45">
      <c r="B63" s="3"/>
    </row>
    <row r="68" spans="2:2" x14ac:dyDescent="0.35">
      <c r="B68" s="38"/>
    </row>
  </sheetData>
  <mergeCells count="6">
    <mergeCell ref="K6:M6"/>
    <mergeCell ref="N6:P6"/>
    <mergeCell ref="B2:R2"/>
    <mergeCell ref="B6:D6"/>
    <mergeCell ref="E6:G6"/>
    <mergeCell ref="H6:J6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22"/>
  <sheetViews>
    <sheetView topLeftCell="B1" workbookViewId="0">
      <pane ySplit="2" topLeftCell="A3" activePane="bottomLeft" state="frozen"/>
      <selection pane="bottomLeft" activeCell="F5" sqref="F5"/>
    </sheetView>
  </sheetViews>
  <sheetFormatPr defaultRowHeight="14.5" x14ac:dyDescent="0.35"/>
  <cols>
    <col min="1" max="3" width="14" customWidth="1"/>
    <col min="4" max="4" width="18" customWidth="1"/>
    <col min="5" max="5" width="14" customWidth="1"/>
    <col min="6" max="6" width="22" customWidth="1"/>
    <col min="7" max="16" width="14" customWidth="1"/>
  </cols>
  <sheetData>
    <row r="1" spans="1:16" ht="15.5" x14ac:dyDescent="0.35">
      <c r="A1" s="65" t="s">
        <v>692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6" x14ac:dyDescent="0.35">
      <c r="A2" s="6" t="s">
        <v>104</v>
      </c>
      <c r="B2" s="6" t="s">
        <v>105</v>
      </c>
      <c r="C2" s="6" t="s">
        <v>36</v>
      </c>
      <c r="D2" s="6" t="s">
        <v>37</v>
      </c>
      <c r="E2" s="6" t="s">
        <v>83</v>
      </c>
      <c r="F2" s="6" t="s">
        <v>106</v>
      </c>
      <c r="G2" s="6" t="s">
        <v>38</v>
      </c>
      <c r="H2" s="6" t="s">
        <v>107</v>
      </c>
      <c r="I2" s="6" t="s">
        <v>108</v>
      </c>
      <c r="J2" s="6" t="s">
        <v>109</v>
      </c>
      <c r="K2" s="6" t="s">
        <v>51</v>
      </c>
      <c r="L2" s="6" t="s">
        <v>52</v>
      </c>
      <c r="M2" s="6" t="s">
        <v>110</v>
      </c>
      <c r="N2" s="6" t="s">
        <v>39</v>
      </c>
      <c r="O2" s="6" t="s">
        <v>111</v>
      </c>
      <c r="P2" s="6" t="s">
        <v>112</v>
      </c>
    </row>
    <row r="3" spans="1:16" x14ac:dyDescent="0.35">
      <c r="A3" s="14" t="s">
        <v>113</v>
      </c>
      <c r="B3" s="15">
        <v>41641</v>
      </c>
      <c r="C3" s="14" t="s">
        <v>53</v>
      </c>
      <c r="D3" s="14" t="s">
        <v>64</v>
      </c>
      <c r="E3" s="14" t="s">
        <v>114</v>
      </c>
      <c r="F3" s="14" t="s">
        <v>115</v>
      </c>
      <c r="G3" s="14" t="s">
        <v>56</v>
      </c>
      <c r="H3" s="14">
        <v>2</v>
      </c>
      <c r="I3" s="16">
        <v>431.33</v>
      </c>
      <c r="J3" s="16">
        <v>220</v>
      </c>
      <c r="K3" s="16">
        <v>862.66</v>
      </c>
      <c r="L3" s="16">
        <v>422.66</v>
      </c>
      <c r="M3" s="14">
        <v>2014</v>
      </c>
      <c r="N3" s="14">
        <v>1</v>
      </c>
      <c r="O3" s="14" t="s">
        <v>70</v>
      </c>
      <c r="P3" s="14" t="s">
        <v>88</v>
      </c>
    </row>
    <row r="4" spans="1:16" x14ac:dyDescent="0.35">
      <c r="A4" s="14" t="s">
        <v>116</v>
      </c>
      <c r="B4" s="15">
        <v>41641</v>
      </c>
      <c r="C4" s="14" t="s">
        <v>59</v>
      </c>
      <c r="D4" s="14" t="s">
        <v>68</v>
      </c>
      <c r="E4" s="14" t="s">
        <v>117</v>
      </c>
      <c r="F4" s="14" t="s">
        <v>118</v>
      </c>
      <c r="G4" s="14" t="s">
        <v>54</v>
      </c>
      <c r="H4" s="14">
        <v>1</v>
      </c>
      <c r="I4" s="16">
        <v>28.05</v>
      </c>
      <c r="J4" s="16">
        <v>12</v>
      </c>
      <c r="K4" s="16">
        <v>28.05</v>
      </c>
      <c r="L4" s="16">
        <v>16.05</v>
      </c>
      <c r="M4" s="14">
        <v>2014</v>
      </c>
      <c r="N4" s="14">
        <v>1</v>
      </c>
      <c r="O4" s="14" t="s">
        <v>70</v>
      </c>
      <c r="P4" s="14" t="s">
        <v>88</v>
      </c>
    </row>
    <row r="5" spans="1:16" x14ac:dyDescent="0.35">
      <c r="A5" s="14" t="s">
        <v>119</v>
      </c>
      <c r="B5" s="15">
        <v>41642</v>
      </c>
      <c r="C5" s="14" t="s">
        <v>57</v>
      </c>
      <c r="D5" s="14" t="s">
        <v>62</v>
      </c>
      <c r="E5" s="14" t="s">
        <v>117</v>
      </c>
      <c r="F5" s="14" t="s">
        <v>115</v>
      </c>
      <c r="G5" s="14" t="s">
        <v>56</v>
      </c>
      <c r="H5" s="14">
        <v>3</v>
      </c>
      <c r="I5" s="16">
        <v>457.8</v>
      </c>
      <c r="J5" s="16">
        <v>220</v>
      </c>
      <c r="K5" s="16">
        <v>1373.4</v>
      </c>
      <c r="L5" s="16">
        <v>713.4</v>
      </c>
      <c r="M5" s="14">
        <v>2014</v>
      </c>
      <c r="N5" s="14">
        <v>1</v>
      </c>
      <c r="O5" s="14" t="s">
        <v>70</v>
      </c>
      <c r="P5" s="14" t="s">
        <v>90</v>
      </c>
    </row>
    <row r="6" spans="1:16" x14ac:dyDescent="0.35">
      <c r="A6" s="14" t="s">
        <v>120</v>
      </c>
      <c r="B6" s="15">
        <v>41642</v>
      </c>
      <c r="C6" s="14" t="s">
        <v>55</v>
      </c>
      <c r="D6" s="14" t="s">
        <v>65</v>
      </c>
      <c r="E6" s="14" t="s">
        <v>114</v>
      </c>
      <c r="F6" s="14" t="s">
        <v>118</v>
      </c>
      <c r="G6" s="14" t="s">
        <v>54</v>
      </c>
      <c r="H6" s="14">
        <v>2</v>
      </c>
      <c r="I6" s="16">
        <v>29.87</v>
      </c>
      <c r="J6" s="16">
        <v>12</v>
      </c>
      <c r="K6" s="16">
        <v>59.74</v>
      </c>
      <c r="L6" s="16">
        <v>35.74</v>
      </c>
      <c r="M6" s="14">
        <v>2014</v>
      </c>
      <c r="N6" s="14">
        <v>1</v>
      </c>
      <c r="O6" s="14" t="s">
        <v>70</v>
      </c>
      <c r="P6" s="14" t="s">
        <v>88</v>
      </c>
    </row>
    <row r="7" spans="1:16" x14ac:dyDescent="0.35">
      <c r="A7" s="14" t="s">
        <v>121</v>
      </c>
      <c r="B7" s="15">
        <v>41643</v>
      </c>
      <c r="C7" s="14" t="s">
        <v>55</v>
      </c>
      <c r="D7" s="14" t="s">
        <v>65</v>
      </c>
      <c r="E7" s="14" t="s">
        <v>117</v>
      </c>
      <c r="F7" s="14" t="s">
        <v>115</v>
      </c>
      <c r="G7" s="14" t="s">
        <v>56</v>
      </c>
      <c r="H7" s="14">
        <v>3</v>
      </c>
      <c r="I7" s="16">
        <v>439.55</v>
      </c>
      <c r="J7" s="16">
        <v>220</v>
      </c>
      <c r="K7" s="16">
        <v>1318.65</v>
      </c>
      <c r="L7" s="16">
        <v>658.65</v>
      </c>
      <c r="M7" s="14">
        <v>2014</v>
      </c>
      <c r="N7" s="14">
        <v>1</v>
      </c>
      <c r="O7" s="14" t="s">
        <v>70</v>
      </c>
      <c r="P7" s="14" t="s">
        <v>90</v>
      </c>
    </row>
    <row r="8" spans="1:16" x14ac:dyDescent="0.35">
      <c r="A8" s="14" t="s">
        <v>122</v>
      </c>
      <c r="B8" s="15">
        <v>41643</v>
      </c>
      <c r="C8" s="14" t="s">
        <v>57</v>
      </c>
      <c r="D8" s="14" t="s">
        <v>66</v>
      </c>
      <c r="E8" s="14" t="s">
        <v>98</v>
      </c>
      <c r="F8" s="14" t="s">
        <v>123</v>
      </c>
      <c r="G8" s="14" t="s">
        <v>54</v>
      </c>
      <c r="H8" s="14">
        <v>1</v>
      </c>
      <c r="I8" s="16">
        <v>70.27</v>
      </c>
      <c r="J8" s="16">
        <v>28</v>
      </c>
      <c r="K8" s="16">
        <v>70.27</v>
      </c>
      <c r="L8" s="16">
        <v>42.27</v>
      </c>
      <c r="M8" s="14">
        <v>2014</v>
      </c>
      <c r="N8" s="14">
        <v>1</v>
      </c>
      <c r="O8" s="14" t="s">
        <v>70</v>
      </c>
      <c r="P8" s="14" t="s">
        <v>88</v>
      </c>
    </row>
    <row r="9" spans="1:16" x14ac:dyDescent="0.35">
      <c r="A9" s="14" t="s">
        <v>124</v>
      </c>
      <c r="B9" s="15">
        <v>41644</v>
      </c>
      <c r="C9" s="14" t="s">
        <v>59</v>
      </c>
      <c r="D9" s="14" t="s">
        <v>63</v>
      </c>
      <c r="E9" s="14" t="s">
        <v>100</v>
      </c>
      <c r="F9" s="14" t="s">
        <v>125</v>
      </c>
      <c r="G9" s="14" t="s">
        <v>56</v>
      </c>
      <c r="H9" s="14">
        <v>3</v>
      </c>
      <c r="I9" s="16">
        <v>157.56</v>
      </c>
      <c r="J9" s="16">
        <v>70</v>
      </c>
      <c r="K9" s="16">
        <v>472.68</v>
      </c>
      <c r="L9" s="16">
        <v>262.68</v>
      </c>
      <c r="M9" s="14">
        <v>2014</v>
      </c>
      <c r="N9" s="14">
        <v>1</v>
      </c>
      <c r="O9" s="14" t="s">
        <v>70</v>
      </c>
      <c r="P9" s="14" t="s">
        <v>88</v>
      </c>
    </row>
    <row r="10" spans="1:16" x14ac:dyDescent="0.35">
      <c r="A10" s="14" t="s">
        <v>126</v>
      </c>
      <c r="B10" s="15">
        <v>41645</v>
      </c>
      <c r="C10" s="14" t="s">
        <v>53</v>
      </c>
      <c r="D10" s="14" t="s">
        <v>61</v>
      </c>
      <c r="E10" s="14" t="s">
        <v>98</v>
      </c>
      <c r="F10" s="14" t="s">
        <v>123</v>
      </c>
      <c r="G10" s="14" t="s">
        <v>54</v>
      </c>
      <c r="H10" s="14">
        <v>1</v>
      </c>
      <c r="I10" s="16">
        <v>69.33</v>
      </c>
      <c r="J10" s="16">
        <v>28</v>
      </c>
      <c r="K10" s="16">
        <v>69.33</v>
      </c>
      <c r="L10" s="16">
        <v>41.33</v>
      </c>
      <c r="M10" s="14">
        <v>2014</v>
      </c>
      <c r="N10" s="14">
        <v>1</v>
      </c>
      <c r="O10" s="14" t="s">
        <v>70</v>
      </c>
      <c r="P10" s="14" t="s">
        <v>88</v>
      </c>
    </row>
    <row r="11" spans="1:16" x14ac:dyDescent="0.35">
      <c r="A11" s="14" t="s">
        <v>127</v>
      </c>
      <c r="B11" s="15">
        <v>41650</v>
      </c>
      <c r="C11" s="14" t="s">
        <v>57</v>
      </c>
      <c r="D11" s="14" t="s">
        <v>66</v>
      </c>
      <c r="E11" s="14" t="s">
        <v>98</v>
      </c>
      <c r="F11" s="14" t="s">
        <v>128</v>
      </c>
      <c r="G11" s="14" t="s">
        <v>54</v>
      </c>
      <c r="H11" s="14">
        <v>3</v>
      </c>
      <c r="I11" s="16">
        <v>92.74</v>
      </c>
      <c r="J11" s="16">
        <v>40</v>
      </c>
      <c r="K11" s="16">
        <v>278.22000000000003</v>
      </c>
      <c r="L11" s="16">
        <v>158.22</v>
      </c>
      <c r="M11" s="14">
        <v>2014</v>
      </c>
      <c r="N11" s="14">
        <v>1</v>
      </c>
      <c r="O11" s="14" t="s">
        <v>70</v>
      </c>
      <c r="P11" s="14" t="s">
        <v>88</v>
      </c>
    </row>
    <row r="12" spans="1:16" x14ac:dyDescent="0.35">
      <c r="A12" s="14" t="s">
        <v>129</v>
      </c>
      <c r="B12" s="15">
        <v>41654</v>
      </c>
      <c r="C12" s="14" t="s">
        <v>57</v>
      </c>
      <c r="D12" s="14" t="s">
        <v>66</v>
      </c>
      <c r="E12" s="14" t="s">
        <v>98</v>
      </c>
      <c r="F12" s="14" t="s">
        <v>115</v>
      </c>
      <c r="G12" s="14" t="s">
        <v>56</v>
      </c>
      <c r="H12" s="14">
        <v>2</v>
      </c>
      <c r="I12" s="16">
        <v>435</v>
      </c>
      <c r="J12" s="16">
        <v>220</v>
      </c>
      <c r="K12" s="16">
        <v>870</v>
      </c>
      <c r="L12" s="16">
        <v>430</v>
      </c>
      <c r="M12" s="14">
        <v>2014</v>
      </c>
      <c r="N12" s="14">
        <v>1</v>
      </c>
      <c r="O12" s="14" t="s">
        <v>70</v>
      </c>
      <c r="P12" s="14" t="s">
        <v>88</v>
      </c>
    </row>
    <row r="13" spans="1:16" x14ac:dyDescent="0.35">
      <c r="A13" s="14" t="s">
        <v>130</v>
      </c>
      <c r="B13" s="15">
        <v>41655</v>
      </c>
      <c r="C13" s="14" t="s">
        <v>53</v>
      </c>
      <c r="D13" s="14" t="s">
        <v>67</v>
      </c>
      <c r="E13" s="14" t="s">
        <v>131</v>
      </c>
      <c r="F13" s="14" t="s">
        <v>132</v>
      </c>
      <c r="G13" s="14" t="s">
        <v>56</v>
      </c>
      <c r="H13" s="14">
        <v>2</v>
      </c>
      <c r="I13" s="16">
        <v>37.47</v>
      </c>
      <c r="J13" s="16">
        <v>15</v>
      </c>
      <c r="K13" s="16">
        <v>74.94</v>
      </c>
      <c r="L13" s="16">
        <v>44.94</v>
      </c>
      <c r="M13" s="14">
        <v>2014</v>
      </c>
      <c r="N13" s="14">
        <v>1</v>
      </c>
      <c r="O13" s="14" t="s">
        <v>70</v>
      </c>
      <c r="P13" s="14" t="s">
        <v>88</v>
      </c>
    </row>
    <row r="14" spans="1:16" x14ac:dyDescent="0.35">
      <c r="A14" s="14" t="s">
        <v>133</v>
      </c>
      <c r="B14" s="15">
        <v>41655</v>
      </c>
      <c r="C14" s="14" t="s">
        <v>53</v>
      </c>
      <c r="D14" s="14" t="s">
        <v>64</v>
      </c>
      <c r="E14" s="14" t="s">
        <v>134</v>
      </c>
      <c r="F14" s="14" t="s">
        <v>128</v>
      </c>
      <c r="G14" s="14" t="s">
        <v>54</v>
      </c>
      <c r="H14" s="14">
        <v>1</v>
      </c>
      <c r="I14" s="16">
        <v>89.47</v>
      </c>
      <c r="J14" s="16">
        <v>40</v>
      </c>
      <c r="K14" s="16">
        <v>89.47</v>
      </c>
      <c r="L14" s="16">
        <v>49.47</v>
      </c>
      <c r="M14" s="14">
        <v>2014</v>
      </c>
      <c r="N14" s="14">
        <v>1</v>
      </c>
      <c r="O14" s="14" t="s">
        <v>70</v>
      </c>
      <c r="P14" s="14" t="s">
        <v>88</v>
      </c>
    </row>
    <row r="15" spans="1:16" x14ac:dyDescent="0.35">
      <c r="A15" s="14" t="s">
        <v>135</v>
      </c>
      <c r="B15" s="15">
        <v>41656</v>
      </c>
      <c r="C15" s="14" t="s">
        <v>55</v>
      </c>
      <c r="D15" s="14" t="s">
        <v>67</v>
      </c>
      <c r="E15" s="14" t="s">
        <v>100</v>
      </c>
      <c r="F15" s="14" t="s">
        <v>123</v>
      </c>
      <c r="G15" s="14" t="s">
        <v>54</v>
      </c>
      <c r="H15" s="14">
        <v>1</v>
      </c>
      <c r="I15" s="16">
        <v>66.92</v>
      </c>
      <c r="J15" s="16">
        <v>28</v>
      </c>
      <c r="K15" s="16">
        <v>66.92</v>
      </c>
      <c r="L15" s="16">
        <v>38.92</v>
      </c>
      <c r="M15" s="14">
        <v>2014</v>
      </c>
      <c r="N15" s="14">
        <v>1</v>
      </c>
      <c r="O15" s="14" t="s">
        <v>70</v>
      </c>
      <c r="P15" s="14" t="s">
        <v>88</v>
      </c>
    </row>
    <row r="16" spans="1:16" x14ac:dyDescent="0.35">
      <c r="A16" s="14" t="s">
        <v>136</v>
      </c>
      <c r="B16" s="15">
        <v>41656</v>
      </c>
      <c r="C16" s="14" t="s">
        <v>57</v>
      </c>
      <c r="D16" s="14" t="s">
        <v>62</v>
      </c>
      <c r="E16" s="14" t="s">
        <v>134</v>
      </c>
      <c r="F16" s="14" t="s">
        <v>137</v>
      </c>
      <c r="G16" s="14" t="s">
        <v>54</v>
      </c>
      <c r="H16" s="14">
        <v>2</v>
      </c>
      <c r="I16" s="16">
        <v>326.14</v>
      </c>
      <c r="J16" s="16">
        <v>180</v>
      </c>
      <c r="K16" s="16">
        <v>652.28</v>
      </c>
      <c r="L16" s="16">
        <v>292.27999999999997</v>
      </c>
      <c r="M16" s="14">
        <v>2014</v>
      </c>
      <c r="N16" s="14">
        <v>1</v>
      </c>
      <c r="O16" s="14" t="s">
        <v>70</v>
      </c>
      <c r="P16" s="14" t="s">
        <v>88</v>
      </c>
    </row>
    <row r="17" spans="1:16" x14ac:dyDescent="0.35">
      <c r="A17" s="14" t="s">
        <v>138</v>
      </c>
      <c r="B17" s="15">
        <v>41657</v>
      </c>
      <c r="C17" s="14" t="s">
        <v>55</v>
      </c>
      <c r="D17" s="14" t="s">
        <v>63</v>
      </c>
      <c r="E17" s="14" t="s">
        <v>139</v>
      </c>
      <c r="F17" s="14" t="s">
        <v>140</v>
      </c>
      <c r="G17" s="14" t="s">
        <v>56</v>
      </c>
      <c r="H17" s="14">
        <v>1</v>
      </c>
      <c r="I17" s="16">
        <v>180.39</v>
      </c>
      <c r="J17" s="16">
        <v>95</v>
      </c>
      <c r="K17" s="16">
        <v>180.39</v>
      </c>
      <c r="L17" s="16">
        <v>85.39</v>
      </c>
      <c r="M17" s="14">
        <v>2014</v>
      </c>
      <c r="N17" s="14">
        <v>1</v>
      </c>
      <c r="O17" s="14" t="s">
        <v>70</v>
      </c>
      <c r="P17" s="14" t="s">
        <v>88</v>
      </c>
    </row>
    <row r="18" spans="1:16" x14ac:dyDescent="0.35">
      <c r="A18" s="14" t="s">
        <v>141</v>
      </c>
      <c r="B18" s="15">
        <v>41658</v>
      </c>
      <c r="C18" s="14" t="s">
        <v>57</v>
      </c>
      <c r="D18" s="14" t="s">
        <v>62</v>
      </c>
      <c r="E18" s="14" t="s">
        <v>91</v>
      </c>
      <c r="F18" s="14" t="s">
        <v>142</v>
      </c>
      <c r="G18" s="14" t="s">
        <v>58</v>
      </c>
      <c r="H18" s="14">
        <v>5</v>
      </c>
      <c r="I18" s="16">
        <v>12.81</v>
      </c>
      <c r="J18" s="16">
        <v>4</v>
      </c>
      <c r="K18" s="16">
        <v>64.05</v>
      </c>
      <c r="L18" s="16">
        <v>44.05</v>
      </c>
      <c r="M18" s="14">
        <v>2014</v>
      </c>
      <c r="N18" s="14">
        <v>1</v>
      </c>
      <c r="O18" s="14" t="s">
        <v>70</v>
      </c>
      <c r="P18" s="14" t="s">
        <v>88</v>
      </c>
    </row>
    <row r="19" spans="1:16" x14ac:dyDescent="0.35">
      <c r="A19" s="14" t="s">
        <v>143</v>
      </c>
      <c r="B19" s="15">
        <v>41659</v>
      </c>
      <c r="C19" s="14" t="s">
        <v>59</v>
      </c>
      <c r="D19" s="14" t="s">
        <v>68</v>
      </c>
      <c r="E19" s="14" t="s">
        <v>144</v>
      </c>
      <c r="F19" s="14" t="s">
        <v>125</v>
      </c>
      <c r="G19" s="14" t="s">
        <v>56</v>
      </c>
      <c r="H19" s="14">
        <v>2</v>
      </c>
      <c r="I19" s="16">
        <v>160.49</v>
      </c>
      <c r="J19" s="16">
        <v>70</v>
      </c>
      <c r="K19" s="16">
        <v>320.98</v>
      </c>
      <c r="L19" s="16">
        <v>180.98</v>
      </c>
      <c r="M19" s="14">
        <v>2014</v>
      </c>
      <c r="N19" s="14">
        <v>1</v>
      </c>
      <c r="O19" s="14" t="s">
        <v>70</v>
      </c>
      <c r="P19" s="14" t="s">
        <v>88</v>
      </c>
    </row>
    <row r="20" spans="1:16" x14ac:dyDescent="0.35">
      <c r="A20" s="14" t="s">
        <v>145</v>
      </c>
      <c r="B20" s="15">
        <v>41662</v>
      </c>
      <c r="C20" s="14" t="s">
        <v>55</v>
      </c>
      <c r="D20" s="14" t="s">
        <v>68</v>
      </c>
      <c r="E20" s="14" t="s">
        <v>146</v>
      </c>
      <c r="F20" s="14" t="s">
        <v>132</v>
      </c>
      <c r="G20" s="14" t="s">
        <v>56</v>
      </c>
      <c r="H20" s="14">
        <v>1</v>
      </c>
      <c r="I20" s="16">
        <v>39.64</v>
      </c>
      <c r="J20" s="16">
        <v>15</v>
      </c>
      <c r="K20" s="16">
        <v>39.64</v>
      </c>
      <c r="L20" s="16">
        <v>24.64</v>
      </c>
      <c r="M20" s="14">
        <v>2014</v>
      </c>
      <c r="N20" s="14">
        <v>1</v>
      </c>
      <c r="O20" s="14" t="s">
        <v>70</v>
      </c>
      <c r="P20" s="14" t="s">
        <v>88</v>
      </c>
    </row>
    <row r="21" spans="1:16" x14ac:dyDescent="0.35">
      <c r="A21" s="14" t="s">
        <v>147</v>
      </c>
      <c r="B21" s="15">
        <v>41663</v>
      </c>
      <c r="C21" s="14" t="s">
        <v>53</v>
      </c>
      <c r="D21" s="14" t="s">
        <v>67</v>
      </c>
      <c r="E21" s="14" t="s">
        <v>139</v>
      </c>
      <c r="F21" s="14" t="s">
        <v>115</v>
      </c>
      <c r="G21" s="14" t="s">
        <v>56</v>
      </c>
      <c r="H21" s="14">
        <v>2</v>
      </c>
      <c r="I21" s="16">
        <v>460.35</v>
      </c>
      <c r="J21" s="16">
        <v>220</v>
      </c>
      <c r="K21" s="16">
        <v>920.7</v>
      </c>
      <c r="L21" s="16">
        <v>480.7</v>
      </c>
      <c r="M21" s="14">
        <v>2014</v>
      </c>
      <c r="N21" s="14">
        <v>1</v>
      </c>
      <c r="O21" s="14" t="s">
        <v>70</v>
      </c>
      <c r="P21" s="14" t="s">
        <v>88</v>
      </c>
    </row>
    <row r="22" spans="1:16" x14ac:dyDescent="0.35">
      <c r="A22" s="14" t="s">
        <v>148</v>
      </c>
      <c r="B22" s="15">
        <v>41663</v>
      </c>
      <c r="C22" s="14" t="s">
        <v>59</v>
      </c>
      <c r="D22" s="14" t="s">
        <v>68</v>
      </c>
      <c r="E22" s="14" t="s">
        <v>131</v>
      </c>
      <c r="F22" s="14" t="s">
        <v>142</v>
      </c>
      <c r="G22" s="14" t="s">
        <v>58</v>
      </c>
      <c r="H22" s="14">
        <v>3</v>
      </c>
      <c r="I22" s="16">
        <v>12.26</v>
      </c>
      <c r="J22" s="16">
        <v>4</v>
      </c>
      <c r="K22" s="16">
        <v>36.78</v>
      </c>
      <c r="L22" s="16">
        <v>24.78</v>
      </c>
      <c r="M22" s="14">
        <v>2014</v>
      </c>
      <c r="N22" s="14">
        <v>1</v>
      </c>
      <c r="O22" s="14" t="s">
        <v>70</v>
      </c>
      <c r="P22" s="14" t="s">
        <v>88</v>
      </c>
    </row>
    <row r="23" spans="1:16" x14ac:dyDescent="0.35">
      <c r="A23" s="14" t="s">
        <v>149</v>
      </c>
      <c r="B23" s="15">
        <v>41664</v>
      </c>
      <c r="C23" s="14" t="s">
        <v>57</v>
      </c>
      <c r="D23" s="14" t="s">
        <v>62</v>
      </c>
      <c r="E23" s="14" t="s">
        <v>150</v>
      </c>
      <c r="F23" s="14" t="s">
        <v>132</v>
      </c>
      <c r="G23" s="14" t="s">
        <v>56</v>
      </c>
      <c r="H23" s="14">
        <v>2</v>
      </c>
      <c r="I23" s="16">
        <v>38.549999999999997</v>
      </c>
      <c r="J23" s="16">
        <v>15</v>
      </c>
      <c r="K23" s="16">
        <v>77.099999999999994</v>
      </c>
      <c r="L23" s="16">
        <v>47.1</v>
      </c>
      <c r="M23" s="14">
        <v>2014</v>
      </c>
      <c r="N23" s="14">
        <v>1</v>
      </c>
      <c r="O23" s="14" t="s">
        <v>70</v>
      </c>
      <c r="P23" s="14" t="s">
        <v>88</v>
      </c>
    </row>
    <row r="24" spans="1:16" x14ac:dyDescent="0.35">
      <c r="A24" s="14" t="s">
        <v>151</v>
      </c>
      <c r="B24" s="15">
        <v>41664</v>
      </c>
      <c r="C24" s="14" t="s">
        <v>57</v>
      </c>
      <c r="D24" s="14" t="s">
        <v>62</v>
      </c>
      <c r="E24" s="14" t="s">
        <v>87</v>
      </c>
      <c r="F24" s="14" t="s">
        <v>118</v>
      </c>
      <c r="G24" s="14" t="s">
        <v>54</v>
      </c>
      <c r="H24" s="14">
        <v>2</v>
      </c>
      <c r="I24" s="16">
        <v>28.93</v>
      </c>
      <c r="J24" s="16">
        <v>12</v>
      </c>
      <c r="K24" s="16">
        <v>57.86</v>
      </c>
      <c r="L24" s="16">
        <v>33.86</v>
      </c>
      <c r="M24" s="14">
        <v>2014</v>
      </c>
      <c r="N24" s="14">
        <v>1</v>
      </c>
      <c r="O24" s="14" t="s">
        <v>70</v>
      </c>
      <c r="P24" s="14" t="s">
        <v>88</v>
      </c>
    </row>
    <row r="25" spans="1:16" x14ac:dyDescent="0.35">
      <c r="A25" s="14" t="s">
        <v>152</v>
      </c>
      <c r="B25" s="15">
        <v>41665</v>
      </c>
      <c r="C25" s="14" t="s">
        <v>55</v>
      </c>
      <c r="D25" s="14" t="s">
        <v>63</v>
      </c>
      <c r="E25" s="14" t="s">
        <v>153</v>
      </c>
      <c r="F25" s="14" t="s">
        <v>137</v>
      </c>
      <c r="G25" s="14" t="s">
        <v>54</v>
      </c>
      <c r="H25" s="14">
        <v>1</v>
      </c>
      <c r="I25" s="16">
        <v>339.44</v>
      </c>
      <c r="J25" s="16">
        <v>180</v>
      </c>
      <c r="K25" s="16">
        <v>339.44</v>
      </c>
      <c r="L25" s="16">
        <v>159.44</v>
      </c>
      <c r="M25" s="14">
        <v>2014</v>
      </c>
      <c r="N25" s="14">
        <v>1</v>
      </c>
      <c r="O25" s="14" t="s">
        <v>70</v>
      </c>
      <c r="P25" s="14" t="s">
        <v>88</v>
      </c>
    </row>
    <row r="26" spans="1:16" x14ac:dyDescent="0.35">
      <c r="A26" s="14" t="s">
        <v>154</v>
      </c>
      <c r="B26" s="15">
        <v>41666</v>
      </c>
      <c r="C26" s="14" t="s">
        <v>57</v>
      </c>
      <c r="D26" s="14" t="s">
        <v>62</v>
      </c>
      <c r="E26" s="14" t="s">
        <v>131</v>
      </c>
      <c r="F26" s="14" t="s">
        <v>142</v>
      </c>
      <c r="G26" s="14" t="s">
        <v>58</v>
      </c>
      <c r="H26" s="14">
        <v>1</v>
      </c>
      <c r="I26" s="16">
        <v>12.29</v>
      </c>
      <c r="J26" s="16">
        <v>4</v>
      </c>
      <c r="K26" s="16">
        <v>12.29</v>
      </c>
      <c r="L26" s="16">
        <v>8.2899999999999991</v>
      </c>
      <c r="M26" s="14">
        <v>2014</v>
      </c>
      <c r="N26" s="14">
        <v>1</v>
      </c>
      <c r="O26" s="14" t="s">
        <v>70</v>
      </c>
      <c r="P26" s="14" t="s">
        <v>88</v>
      </c>
    </row>
    <row r="27" spans="1:16" x14ac:dyDescent="0.35">
      <c r="A27" s="14" t="s">
        <v>155</v>
      </c>
      <c r="B27" s="15">
        <v>41666</v>
      </c>
      <c r="C27" s="14" t="s">
        <v>59</v>
      </c>
      <c r="D27" s="14" t="s">
        <v>68</v>
      </c>
      <c r="E27" s="14" t="s">
        <v>139</v>
      </c>
      <c r="F27" s="14" t="s">
        <v>156</v>
      </c>
      <c r="G27" s="14" t="s">
        <v>54</v>
      </c>
      <c r="H27" s="14">
        <v>2</v>
      </c>
      <c r="I27" s="16">
        <v>47</v>
      </c>
      <c r="J27" s="16">
        <v>18</v>
      </c>
      <c r="K27" s="16">
        <v>94</v>
      </c>
      <c r="L27" s="16">
        <v>58</v>
      </c>
      <c r="M27" s="14">
        <v>2014</v>
      </c>
      <c r="N27" s="14">
        <v>1</v>
      </c>
      <c r="O27" s="14" t="s">
        <v>70</v>
      </c>
      <c r="P27" s="14" t="s">
        <v>88</v>
      </c>
    </row>
    <row r="28" spans="1:16" x14ac:dyDescent="0.35">
      <c r="A28" s="14" t="s">
        <v>157</v>
      </c>
      <c r="B28" s="15">
        <v>41668</v>
      </c>
      <c r="C28" s="14" t="s">
        <v>57</v>
      </c>
      <c r="D28" s="14" t="s">
        <v>66</v>
      </c>
      <c r="E28" s="14" t="s">
        <v>144</v>
      </c>
      <c r="F28" s="14" t="s">
        <v>128</v>
      </c>
      <c r="G28" s="14" t="s">
        <v>54</v>
      </c>
      <c r="H28" s="14">
        <v>2</v>
      </c>
      <c r="I28" s="16">
        <v>85.06</v>
      </c>
      <c r="J28" s="16">
        <v>40</v>
      </c>
      <c r="K28" s="16">
        <v>170.12</v>
      </c>
      <c r="L28" s="16">
        <v>90.12</v>
      </c>
      <c r="M28" s="14">
        <v>2014</v>
      </c>
      <c r="N28" s="14">
        <v>1</v>
      </c>
      <c r="O28" s="14" t="s">
        <v>70</v>
      </c>
      <c r="P28" s="14" t="s">
        <v>88</v>
      </c>
    </row>
    <row r="29" spans="1:16" x14ac:dyDescent="0.35">
      <c r="A29" s="14" t="s">
        <v>158</v>
      </c>
      <c r="B29" s="15">
        <v>41668</v>
      </c>
      <c r="C29" s="14" t="s">
        <v>59</v>
      </c>
      <c r="D29" s="14" t="s">
        <v>61</v>
      </c>
      <c r="E29" s="14" t="s">
        <v>144</v>
      </c>
      <c r="F29" s="14" t="s">
        <v>156</v>
      </c>
      <c r="G29" s="14" t="s">
        <v>54</v>
      </c>
      <c r="H29" s="14">
        <v>3</v>
      </c>
      <c r="I29" s="16">
        <v>50.13</v>
      </c>
      <c r="J29" s="16">
        <v>18</v>
      </c>
      <c r="K29" s="16">
        <v>150.38999999999999</v>
      </c>
      <c r="L29" s="16">
        <v>96.39</v>
      </c>
      <c r="M29" s="14">
        <v>2014</v>
      </c>
      <c r="N29" s="14">
        <v>1</v>
      </c>
      <c r="O29" s="14" t="s">
        <v>70</v>
      </c>
      <c r="P29" s="14" t="s">
        <v>88</v>
      </c>
    </row>
    <row r="30" spans="1:16" x14ac:dyDescent="0.35">
      <c r="A30" s="14" t="s">
        <v>159</v>
      </c>
      <c r="B30" s="15">
        <v>41669</v>
      </c>
      <c r="C30" s="14" t="s">
        <v>59</v>
      </c>
      <c r="D30" s="14" t="s">
        <v>68</v>
      </c>
      <c r="E30" s="14" t="s">
        <v>100</v>
      </c>
      <c r="F30" s="14" t="s">
        <v>125</v>
      </c>
      <c r="G30" s="14" t="s">
        <v>56</v>
      </c>
      <c r="H30" s="14">
        <v>1</v>
      </c>
      <c r="I30" s="16">
        <v>154.91</v>
      </c>
      <c r="J30" s="16">
        <v>70</v>
      </c>
      <c r="K30" s="16">
        <v>154.91</v>
      </c>
      <c r="L30" s="16">
        <v>84.91</v>
      </c>
      <c r="M30" s="14">
        <v>2014</v>
      </c>
      <c r="N30" s="14">
        <v>1</v>
      </c>
      <c r="O30" s="14" t="s">
        <v>70</v>
      </c>
      <c r="P30" s="14" t="s">
        <v>88</v>
      </c>
    </row>
    <row r="31" spans="1:16" x14ac:dyDescent="0.35">
      <c r="A31" s="14" t="s">
        <v>160</v>
      </c>
      <c r="B31" s="15">
        <v>41670</v>
      </c>
      <c r="C31" s="14" t="s">
        <v>57</v>
      </c>
      <c r="D31" s="14" t="s">
        <v>62</v>
      </c>
      <c r="E31" s="14" t="s">
        <v>117</v>
      </c>
      <c r="F31" s="14" t="s">
        <v>156</v>
      </c>
      <c r="G31" s="14" t="s">
        <v>54</v>
      </c>
      <c r="H31" s="14">
        <v>1</v>
      </c>
      <c r="I31" s="16">
        <v>46.95</v>
      </c>
      <c r="J31" s="16">
        <v>18</v>
      </c>
      <c r="K31" s="16">
        <v>46.95</v>
      </c>
      <c r="L31" s="16">
        <v>28.95</v>
      </c>
      <c r="M31" s="14">
        <v>2014</v>
      </c>
      <c r="N31" s="14">
        <v>1</v>
      </c>
      <c r="O31" s="14" t="s">
        <v>70</v>
      </c>
      <c r="P31" s="14" t="s">
        <v>88</v>
      </c>
    </row>
    <row r="32" spans="1:16" x14ac:dyDescent="0.35">
      <c r="A32" s="14" t="s">
        <v>161</v>
      </c>
      <c r="B32" s="15">
        <v>41670</v>
      </c>
      <c r="C32" s="14" t="s">
        <v>53</v>
      </c>
      <c r="D32" s="14" t="s">
        <v>64</v>
      </c>
      <c r="E32" s="14" t="s">
        <v>150</v>
      </c>
      <c r="F32" s="14" t="s">
        <v>115</v>
      </c>
      <c r="G32" s="14" t="s">
        <v>56</v>
      </c>
      <c r="H32" s="14">
        <v>1</v>
      </c>
      <c r="I32" s="16">
        <v>458.49</v>
      </c>
      <c r="J32" s="16">
        <v>220</v>
      </c>
      <c r="K32" s="16">
        <v>458.49</v>
      </c>
      <c r="L32" s="16">
        <v>238.49</v>
      </c>
      <c r="M32" s="14">
        <v>2014</v>
      </c>
      <c r="N32" s="14">
        <v>1</v>
      </c>
      <c r="O32" s="14" t="s">
        <v>70</v>
      </c>
      <c r="P32" s="14" t="s">
        <v>88</v>
      </c>
    </row>
    <row r="33" spans="1:16" x14ac:dyDescent="0.35">
      <c r="A33" s="14" t="s">
        <v>162</v>
      </c>
      <c r="B33" s="15">
        <v>41670</v>
      </c>
      <c r="C33" s="14" t="s">
        <v>59</v>
      </c>
      <c r="D33" s="14" t="s">
        <v>61</v>
      </c>
      <c r="E33" s="14" t="s">
        <v>114</v>
      </c>
      <c r="F33" s="14" t="s">
        <v>123</v>
      </c>
      <c r="G33" s="14" t="s">
        <v>54</v>
      </c>
      <c r="H33" s="14">
        <v>3</v>
      </c>
      <c r="I33" s="16">
        <v>66.8</v>
      </c>
      <c r="J33" s="16">
        <v>28</v>
      </c>
      <c r="K33" s="16">
        <v>200.4</v>
      </c>
      <c r="L33" s="16">
        <v>116.4</v>
      </c>
      <c r="M33" s="14">
        <v>2014</v>
      </c>
      <c r="N33" s="14">
        <v>1</v>
      </c>
      <c r="O33" s="14" t="s">
        <v>70</v>
      </c>
      <c r="P33" s="14" t="s">
        <v>88</v>
      </c>
    </row>
    <row r="34" spans="1:16" x14ac:dyDescent="0.35">
      <c r="A34" s="14" t="s">
        <v>163</v>
      </c>
      <c r="B34" s="15">
        <v>41674</v>
      </c>
      <c r="C34" s="14" t="s">
        <v>57</v>
      </c>
      <c r="D34" s="14" t="s">
        <v>62</v>
      </c>
      <c r="E34" s="14" t="s">
        <v>164</v>
      </c>
      <c r="F34" s="14" t="s">
        <v>132</v>
      </c>
      <c r="G34" s="14" t="s">
        <v>56</v>
      </c>
      <c r="H34" s="14">
        <v>1</v>
      </c>
      <c r="I34" s="16">
        <v>33.94</v>
      </c>
      <c r="J34" s="16">
        <v>15</v>
      </c>
      <c r="K34" s="16">
        <v>33.94</v>
      </c>
      <c r="L34" s="16">
        <v>18.940000000000001</v>
      </c>
      <c r="M34" s="14">
        <v>2014</v>
      </c>
      <c r="N34" s="14">
        <v>2</v>
      </c>
      <c r="O34" s="14" t="s">
        <v>71</v>
      </c>
      <c r="P34" s="14" t="s">
        <v>88</v>
      </c>
    </row>
    <row r="35" spans="1:16" x14ac:dyDescent="0.35">
      <c r="A35" s="14" t="s">
        <v>165</v>
      </c>
      <c r="B35" s="15">
        <v>41674</v>
      </c>
      <c r="C35" s="14" t="s">
        <v>59</v>
      </c>
      <c r="D35" s="14" t="s">
        <v>61</v>
      </c>
      <c r="E35" s="14" t="s">
        <v>100</v>
      </c>
      <c r="F35" s="14" t="s">
        <v>132</v>
      </c>
      <c r="G35" s="14" t="s">
        <v>56</v>
      </c>
      <c r="H35" s="14">
        <v>1</v>
      </c>
      <c r="I35" s="16">
        <v>32.229999999999997</v>
      </c>
      <c r="J35" s="16">
        <v>15</v>
      </c>
      <c r="K35" s="16">
        <v>32.229999999999997</v>
      </c>
      <c r="L35" s="16">
        <v>17.23</v>
      </c>
      <c r="M35" s="14">
        <v>2014</v>
      </c>
      <c r="N35" s="14">
        <v>2</v>
      </c>
      <c r="O35" s="14" t="s">
        <v>71</v>
      </c>
      <c r="P35" s="14" t="s">
        <v>88</v>
      </c>
    </row>
    <row r="36" spans="1:16" x14ac:dyDescent="0.35">
      <c r="A36" s="14" t="s">
        <v>166</v>
      </c>
      <c r="B36" s="15">
        <v>41675</v>
      </c>
      <c r="C36" s="14" t="s">
        <v>59</v>
      </c>
      <c r="D36" s="14" t="s">
        <v>61</v>
      </c>
      <c r="E36" s="14" t="s">
        <v>100</v>
      </c>
      <c r="F36" s="14" t="s">
        <v>115</v>
      </c>
      <c r="G36" s="14" t="s">
        <v>56</v>
      </c>
      <c r="H36" s="14">
        <v>1</v>
      </c>
      <c r="I36" s="16">
        <v>395.86</v>
      </c>
      <c r="J36" s="16">
        <v>220</v>
      </c>
      <c r="K36" s="16">
        <v>395.86</v>
      </c>
      <c r="L36" s="16">
        <v>175.86</v>
      </c>
      <c r="M36" s="14">
        <v>2014</v>
      </c>
      <c r="N36" s="14">
        <v>2</v>
      </c>
      <c r="O36" s="14" t="s">
        <v>71</v>
      </c>
      <c r="P36" s="14" t="s">
        <v>88</v>
      </c>
    </row>
    <row r="37" spans="1:16" x14ac:dyDescent="0.35">
      <c r="A37" s="14" t="s">
        <v>167</v>
      </c>
      <c r="B37" s="15">
        <v>41675</v>
      </c>
      <c r="C37" s="14" t="s">
        <v>59</v>
      </c>
      <c r="D37" s="14" t="s">
        <v>63</v>
      </c>
      <c r="E37" s="14" t="s">
        <v>150</v>
      </c>
      <c r="F37" s="14" t="s">
        <v>115</v>
      </c>
      <c r="G37" s="14" t="s">
        <v>56</v>
      </c>
      <c r="H37" s="14">
        <v>3</v>
      </c>
      <c r="I37" s="16">
        <v>399.91</v>
      </c>
      <c r="J37" s="16">
        <v>220</v>
      </c>
      <c r="K37" s="16">
        <v>1199.73</v>
      </c>
      <c r="L37" s="16">
        <v>539.73</v>
      </c>
      <c r="M37" s="14">
        <v>2014</v>
      </c>
      <c r="N37" s="14">
        <v>2</v>
      </c>
      <c r="O37" s="14" t="s">
        <v>71</v>
      </c>
      <c r="P37" s="14" t="s">
        <v>90</v>
      </c>
    </row>
    <row r="38" spans="1:16" x14ac:dyDescent="0.35">
      <c r="A38" s="14" t="s">
        <v>168</v>
      </c>
      <c r="B38" s="15">
        <v>41676</v>
      </c>
      <c r="C38" s="14" t="s">
        <v>55</v>
      </c>
      <c r="D38" s="14" t="s">
        <v>63</v>
      </c>
      <c r="E38" s="14" t="s">
        <v>100</v>
      </c>
      <c r="F38" s="14" t="s">
        <v>118</v>
      </c>
      <c r="G38" s="14" t="s">
        <v>54</v>
      </c>
      <c r="H38" s="14">
        <v>4</v>
      </c>
      <c r="I38" s="16">
        <v>24.36</v>
      </c>
      <c r="J38" s="16">
        <v>12</v>
      </c>
      <c r="K38" s="16">
        <v>97.44</v>
      </c>
      <c r="L38" s="16">
        <v>49.44</v>
      </c>
      <c r="M38" s="14">
        <v>2014</v>
      </c>
      <c r="N38" s="14">
        <v>2</v>
      </c>
      <c r="O38" s="14" t="s">
        <v>71</v>
      </c>
      <c r="P38" s="14" t="s">
        <v>88</v>
      </c>
    </row>
    <row r="39" spans="1:16" x14ac:dyDescent="0.35">
      <c r="A39" s="14" t="s">
        <v>169</v>
      </c>
      <c r="B39" s="15">
        <v>41676</v>
      </c>
      <c r="C39" s="14" t="s">
        <v>57</v>
      </c>
      <c r="D39" s="14" t="s">
        <v>61</v>
      </c>
      <c r="E39" s="14" t="s">
        <v>89</v>
      </c>
      <c r="F39" s="14" t="s">
        <v>118</v>
      </c>
      <c r="G39" s="14" t="s">
        <v>54</v>
      </c>
      <c r="H39" s="14">
        <v>1</v>
      </c>
      <c r="I39" s="16">
        <v>23.86</v>
      </c>
      <c r="J39" s="16">
        <v>12</v>
      </c>
      <c r="K39" s="16">
        <v>23.86</v>
      </c>
      <c r="L39" s="16">
        <v>11.86</v>
      </c>
      <c r="M39" s="14">
        <v>2014</v>
      </c>
      <c r="N39" s="14">
        <v>2</v>
      </c>
      <c r="O39" s="14" t="s">
        <v>71</v>
      </c>
      <c r="P39" s="14" t="s">
        <v>88</v>
      </c>
    </row>
    <row r="40" spans="1:16" x14ac:dyDescent="0.35">
      <c r="A40" s="14" t="s">
        <v>170</v>
      </c>
      <c r="B40" s="15">
        <v>41677</v>
      </c>
      <c r="C40" s="14" t="s">
        <v>55</v>
      </c>
      <c r="D40" s="14" t="s">
        <v>63</v>
      </c>
      <c r="E40" s="14" t="s">
        <v>91</v>
      </c>
      <c r="F40" s="14" t="s">
        <v>123</v>
      </c>
      <c r="G40" s="14" t="s">
        <v>54</v>
      </c>
      <c r="H40" s="14">
        <v>1</v>
      </c>
      <c r="I40" s="16">
        <v>59.8</v>
      </c>
      <c r="J40" s="16">
        <v>28</v>
      </c>
      <c r="K40" s="16">
        <v>59.8</v>
      </c>
      <c r="L40" s="16">
        <v>31.8</v>
      </c>
      <c r="M40" s="14">
        <v>2014</v>
      </c>
      <c r="N40" s="14">
        <v>2</v>
      </c>
      <c r="O40" s="14" t="s">
        <v>71</v>
      </c>
      <c r="P40" s="14" t="s">
        <v>88</v>
      </c>
    </row>
    <row r="41" spans="1:16" x14ac:dyDescent="0.35">
      <c r="A41" s="14" t="s">
        <v>171</v>
      </c>
      <c r="B41" s="15">
        <v>41677</v>
      </c>
      <c r="C41" s="14" t="s">
        <v>53</v>
      </c>
      <c r="D41" s="14" t="s">
        <v>67</v>
      </c>
      <c r="E41" s="14" t="s">
        <v>89</v>
      </c>
      <c r="F41" s="14" t="s">
        <v>142</v>
      </c>
      <c r="G41" s="14" t="s">
        <v>58</v>
      </c>
      <c r="H41" s="14">
        <v>1</v>
      </c>
      <c r="I41" s="16">
        <v>11.07</v>
      </c>
      <c r="J41" s="16">
        <v>4</v>
      </c>
      <c r="K41" s="16">
        <v>11.07</v>
      </c>
      <c r="L41" s="16">
        <v>7.07</v>
      </c>
      <c r="M41" s="14">
        <v>2014</v>
      </c>
      <c r="N41" s="14">
        <v>2</v>
      </c>
      <c r="O41" s="14" t="s">
        <v>71</v>
      </c>
      <c r="P41" s="14" t="s">
        <v>88</v>
      </c>
    </row>
    <row r="42" spans="1:16" x14ac:dyDescent="0.35">
      <c r="A42" s="14" t="s">
        <v>172</v>
      </c>
      <c r="B42" s="15">
        <v>41678</v>
      </c>
      <c r="C42" s="14" t="s">
        <v>53</v>
      </c>
      <c r="D42" s="14" t="s">
        <v>67</v>
      </c>
      <c r="E42" s="14" t="s">
        <v>117</v>
      </c>
      <c r="F42" s="14" t="s">
        <v>128</v>
      </c>
      <c r="G42" s="14" t="s">
        <v>54</v>
      </c>
      <c r="H42" s="14">
        <v>3</v>
      </c>
      <c r="I42" s="16">
        <v>72.56</v>
      </c>
      <c r="J42" s="16">
        <v>40</v>
      </c>
      <c r="K42" s="16">
        <v>217.68</v>
      </c>
      <c r="L42" s="16">
        <v>97.68</v>
      </c>
      <c r="M42" s="14">
        <v>2014</v>
      </c>
      <c r="N42" s="14">
        <v>2</v>
      </c>
      <c r="O42" s="14" t="s">
        <v>71</v>
      </c>
      <c r="P42" s="14" t="s">
        <v>88</v>
      </c>
    </row>
    <row r="43" spans="1:16" x14ac:dyDescent="0.35">
      <c r="A43" s="14" t="s">
        <v>173</v>
      </c>
      <c r="B43" s="15">
        <v>41678</v>
      </c>
      <c r="C43" s="14" t="s">
        <v>59</v>
      </c>
      <c r="D43" s="14" t="s">
        <v>61</v>
      </c>
      <c r="E43" s="14" t="s">
        <v>139</v>
      </c>
      <c r="F43" s="14" t="s">
        <v>125</v>
      </c>
      <c r="G43" s="14" t="s">
        <v>56</v>
      </c>
      <c r="H43" s="14">
        <v>1</v>
      </c>
      <c r="I43" s="16">
        <v>128.94</v>
      </c>
      <c r="J43" s="16">
        <v>70</v>
      </c>
      <c r="K43" s="16">
        <v>128.94</v>
      </c>
      <c r="L43" s="16">
        <v>58.94</v>
      </c>
      <c r="M43" s="14">
        <v>2014</v>
      </c>
      <c r="N43" s="14">
        <v>2</v>
      </c>
      <c r="O43" s="14" t="s">
        <v>71</v>
      </c>
      <c r="P43" s="14" t="s">
        <v>88</v>
      </c>
    </row>
    <row r="44" spans="1:16" x14ac:dyDescent="0.35">
      <c r="A44" s="14" t="s">
        <v>174</v>
      </c>
      <c r="B44" s="15">
        <v>41679</v>
      </c>
      <c r="C44" s="14" t="s">
        <v>57</v>
      </c>
      <c r="D44" s="14" t="s">
        <v>66</v>
      </c>
      <c r="E44" s="14" t="s">
        <v>117</v>
      </c>
      <c r="F44" s="14" t="s">
        <v>128</v>
      </c>
      <c r="G44" s="14" t="s">
        <v>54</v>
      </c>
      <c r="H44" s="14">
        <v>2</v>
      </c>
      <c r="I44" s="16">
        <v>73.349999999999994</v>
      </c>
      <c r="J44" s="16">
        <v>40</v>
      </c>
      <c r="K44" s="16">
        <v>146.69999999999999</v>
      </c>
      <c r="L44" s="16">
        <v>66.7</v>
      </c>
      <c r="M44" s="14">
        <v>2014</v>
      </c>
      <c r="N44" s="14">
        <v>2</v>
      </c>
      <c r="O44" s="14" t="s">
        <v>71</v>
      </c>
      <c r="P44" s="14" t="s">
        <v>88</v>
      </c>
    </row>
    <row r="45" spans="1:16" x14ac:dyDescent="0.35">
      <c r="A45" s="14" t="s">
        <v>175</v>
      </c>
      <c r="B45" s="15">
        <v>41680</v>
      </c>
      <c r="C45" s="14" t="s">
        <v>55</v>
      </c>
      <c r="D45" s="14" t="s">
        <v>65</v>
      </c>
      <c r="E45" s="14" t="s">
        <v>87</v>
      </c>
      <c r="F45" s="14" t="s">
        <v>142</v>
      </c>
      <c r="G45" s="14" t="s">
        <v>58</v>
      </c>
      <c r="H45" s="14">
        <v>2</v>
      </c>
      <c r="I45" s="16">
        <v>10.98</v>
      </c>
      <c r="J45" s="16">
        <v>4</v>
      </c>
      <c r="K45" s="16">
        <v>21.96</v>
      </c>
      <c r="L45" s="16">
        <v>13.96</v>
      </c>
      <c r="M45" s="14">
        <v>2014</v>
      </c>
      <c r="N45" s="14">
        <v>2</v>
      </c>
      <c r="O45" s="14" t="s">
        <v>71</v>
      </c>
      <c r="P45" s="14" t="s">
        <v>88</v>
      </c>
    </row>
    <row r="46" spans="1:16" x14ac:dyDescent="0.35">
      <c r="A46" s="14" t="s">
        <v>176</v>
      </c>
      <c r="B46" s="15">
        <v>41681</v>
      </c>
      <c r="C46" s="14" t="s">
        <v>53</v>
      </c>
      <c r="D46" s="14" t="s">
        <v>61</v>
      </c>
      <c r="E46" s="14" t="s">
        <v>91</v>
      </c>
      <c r="F46" s="14" t="s">
        <v>156</v>
      </c>
      <c r="G46" s="14" t="s">
        <v>54</v>
      </c>
      <c r="H46" s="14">
        <v>2</v>
      </c>
      <c r="I46" s="16">
        <v>43.49</v>
      </c>
      <c r="J46" s="16">
        <v>18</v>
      </c>
      <c r="K46" s="16">
        <v>86.98</v>
      </c>
      <c r="L46" s="16">
        <v>50.98</v>
      </c>
      <c r="M46" s="14">
        <v>2014</v>
      </c>
      <c r="N46" s="14">
        <v>2</v>
      </c>
      <c r="O46" s="14" t="s">
        <v>71</v>
      </c>
      <c r="P46" s="14" t="s">
        <v>88</v>
      </c>
    </row>
    <row r="47" spans="1:16" x14ac:dyDescent="0.35">
      <c r="A47" s="14" t="s">
        <v>177</v>
      </c>
      <c r="B47" s="15">
        <v>41681</v>
      </c>
      <c r="C47" s="14" t="s">
        <v>59</v>
      </c>
      <c r="D47" s="14" t="s">
        <v>68</v>
      </c>
      <c r="E47" s="14" t="s">
        <v>98</v>
      </c>
      <c r="F47" s="14" t="s">
        <v>125</v>
      </c>
      <c r="G47" s="14" t="s">
        <v>56</v>
      </c>
      <c r="H47" s="14">
        <v>1</v>
      </c>
      <c r="I47" s="16">
        <v>131.91999999999999</v>
      </c>
      <c r="J47" s="16">
        <v>70</v>
      </c>
      <c r="K47" s="16">
        <v>131.91999999999999</v>
      </c>
      <c r="L47" s="16">
        <v>61.92</v>
      </c>
      <c r="M47" s="14">
        <v>2014</v>
      </c>
      <c r="N47" s="14">
        <v>2</v>
      </c>
      <c r="O47" s="14" t="s">
        <v>71</v>
      </c>
      <c r="P47" s="14" t="s">
        <v>88</v>
      </c>
    </row>
    <row r="48" spans="1:16" x14ac:dyDescent="0.35">
      <c r="A48" s="14" t="s">
        <v>178</v>
      </c>
      <c r="B48" s="15">
        <v>41681</v>
      </c>
      <c r="C48" s="14" t="s">
        <v>53</v>
      </c>
      <c r="D48" s="14" t="s">
        <v>63</v>
      </c>
      <c r="E48" s="14" t="s">
        <v>146</v>
      </c>
      <c r="F48" s="14" t="s">
        <v>156</v>
      </c>
      <c r="G48" s="14" t="s">
        <v>54</v>
      </c>
      <c r="H48" s="14">
        <v>3</v>
      </c>
      <c r="I48" s="16">
        <v>42.82</v>
      </c>
      <c r="J48" s="16">
        <v>18</v>
      </c>
      <c r="K48" s="16">
        <v>128.46</v>
      </c>
      <c r="L48" s="16">
        <v>74.459999999999994</v>
      </c>
      <c r="M48" s="14">
        <v>2014</v>
      </c>
      <c r="N48" s="14">
        <v>2</v>
      </c>
      <c r="O48" s="14" t="s">
        <v>71</v>
      </c>
      <c r="P48" s="14" t="s">
        <v>88</v>
      </c>
    </row>
    <row r="49" spans="1:16" x14ac:dyDescent="0.35">
      <c r="A49" s="14" t="s">
        <v>179</v>
      </c>
      <c r="B49" s="15">
        <v>41681</v>
      </c>
      <c r="C49" s="14" t="s">
        <v>57</v>
      </c>
      <c r="D49" s="14" t="s">
        <v>66</v>
      </c>
      <c r="E49" s="14" t="s">
        <v>131</v>
      </c>
      <c r="F49" s="14" t="s">
        <v>125</v>
      </c>
      <c r="G49" s="14" t="s">
        <v>56</v>
      </c>
      <c r="H49" s="14">
        <v>1</v>
      </c>
      <c r="I49" s="16">
        <v>132.66999999999999</v>
      </c>
      <c r="J49" s="16">
        <v>70</v>
      </c>
      <c r="K49" s="16">
        <v>132.66999999999999</v>
      </c>
      <c r="L49" s="16">
        <v>62.67</v>
      </c>
      <c r="M49" s="14">
        <v>2014</v>
      </c>
      <c r="N49" s="14">
        <v>2</v>
      </c>
      <c r="O49" s="14" t="s">
        <v>71</v>
      </c>
      <c r="P49" s="14" t="s">
        <v>88</v>
      </c>
    </row>
    <row r="50" spans="1:16" x14ac:dyDescent="0.35">
      <c r="A50" s="14" t="s">
        <v>180</v>
      </c>
      <c r="B50" s="15">
        <v>41681</v>
      </c>
      <c r="C50" s="14" t="s">
        <v>59</v>
      </c>
      <c r="D50" s="14" t="s">
        <v>67</v>
      </c>
      <c r="E50" s="14" t="s">
        <v>87</v>
      </c>
      <c r="F50" s="14" t="s">
        <v>125</v>
      </c>
      <c r="G50" s="14" t="s">
        <v>56</v>
      </c>
      <c r="H50" s="14">
        <v>2</v>
      </c>
      <c r="I50" s="16">
        <v>137</v>
      </c>
      <c r="J50" s="16">
        <v>70</v>
      </c>
      <c r="K50" s="16">
        <v>274</v>
      </c>
      <c r="L50" s="16">
        <v>134</v>
      </c>
      <c r="M50" s="14">
        <v>2014</v>
      </c>
      <c r="N50" s="14">
        <v>2</v>
      </c>
      <c r="O50" s="14" t="s">
        <v>71</v>
      </c>
      <c r="P50" s="14" t="s">
        <v>88</v>
      </c>
    </row>
    <row r="51" spans="1:16" x14ac:dyDescent="0.35">
      <c r="A51" s="14" t="s">
        <v>181</v>
      </c>
      <c r="B51" s="15">
        <v>41683</v>
      </c>
      <c r="C51" s="14" t="s">
        <v>53</v>
      </c>
      <c r="D51" s="14" t="s">
        <v>64</v>
      </c>
      <c r="E51" s="14" t="s">
        <v>91</v>
      </c>
      <c r="F51" s="14" t="s">
        <v>137</v>
      </c>
      <c r="G51" s="14" t="s">
        <v>54</v>
      </c>
      <c r="H51" s="14">
        <v>3</v>
      </c>
      <c r="I51" s="16">
        <v>284.41000000000003</v>
      </c>
      <c r="J51" s="16">
        <v>180</v>
      </c>
      <c r="K51" s="16">
        <v>853.23</v>
      </c>
      <c r="L51" s="16">
        <v>313.23</v>
      </c>
      <c r="M51" s="14">
        <v>2014</v>
      </c>
      <c r="N51" s="14">
        <v>2</v>
      </c>
      <c r="O51" s="14" t="s">
        <v>71</v>
      </c>
      <c r="P51" s="14" t="s">
        <v>88</v>
      </c>
    </row>
    <row r="52" spans="1:16" x14ac:dyDescent="0.35">
      <c r="A52" s="14" t="s">
        <v>182</v>
      </c>
      <c r="B52" s="15">
        <v>41683</v>
      </c>
      <c r="C52" s="14" t="s">
        <v>57</v>
      </c>
      <c r="D52" s="14" t="s">
        <v>62</v>
      </c>
      <c r="E52" s="14" t="s">
        <v>139</v>
      </c>
      <c r="F52" s="14" t="s">
        <v>115</v>
      </c>
      <c r="G52" s="14" t="s">
        <v>56</v>
      </c>
      <c r="H52" s="14">
        <v>1</v>
      </c>
      <c r="I52" s="16">
        <v>375.66</v>
      </c>
      <c r="J52" s="16">
        <v>220</v>
      </c>
      <c r="K52" s="16">
        <v>375.66</v>
      </c>
      <c r="L52" s="16">
        <v>155.66</v>
      </c>
      <c r="M52" s="14">
        <v>2014</v>
      </c>
      <c r="N52" s="14">
        <v>2</v>
      </c>
      <c r="O52" s="14" t="s">
        <v>71</v>
      </c>
      <c r="P52" s="14" t="s">
        <v>88</v>
      </c>
    </row>
    <row r="53" spans="1:16" x14ac:dyDescent="0.35">
      <c r="A53" s="14" t="s">
        <v>183</v>
      </c>
      <c r="B53" s="15">
        <v>41683</v>
      </c>
      <c r="C53" s="14" t="s">
        <v>57</v>
      </c>
      <c r="D53" s="14" t="s">
        <v>66</v>
      </c>
      <c r="E53" s="14" t="s">
        <v>87</v>
      </c>
      <c r="F53" s="14" t="s">
        <v>123</v>
      </c>
      <c r="G53" s="14" t="s">
        <v>54</v>
      </c>
      <c r="H53" s="14">
        <v>1</v>
      </c>
      <c r="I53" s="16">
        <v>56.08</v>
      </c>
      <c r="J53" s="16">
        <v>28</v>
      </c>
      <c r="K53" s="16">
        <v>56.08</v>
      </c>
      <c r="L53" s="16">
        <v>28.08</v>
      </c>
      <c r="M53" s="14">
        <v>2014</v>
      </c>
      <c r="N53" s="14">
        <v>2</v>
      </c>
      <c r="O53" s="14" t="s">
        <v>71</v>
      </c>
      <c r="P53" s="14" t="s">
        <v>88</v>
      </c>
    </row>
    <row r="54" spans="1:16" x14ac:dyDescent="0.35">
      <c r="A54" s="14" t="s">
        <v>184</v>
      </c>
      <c r="B54" s="15">
        <v>41685</v>
      </c>
      <c r="C54" s="14" t="s">
        <v>55</v>
      </c>
      <c r="D54" s="14" t="s">
        <v>65</v>
      </c>
      <c r="E54" s="14" t="s">
        <v>139</v>
      </c>
      <c r="F54" s="14" t="s">
        <v>140</v>
      </c>
      <c r="G54" s="14" t="s">
        <v>56</v>
      </c>
      <c r="H54" s="14">
        <v>4</v>
      </c>
      <c r="I54" s="16">
        <v>155.43</v>
      </c>
      <c r="J54" s="16">
        <v>95</v>
      </c>
      <c r="K54" s="16">
        <v>621.72</v>
      </c>
      <c r="L54" s="16">
        <v>241.72</v>
      </c>
      <c r="M54" s="14">
        <v>2014</v>
      </c>
      <c r="N54" s="14">
        <v>2</v>
      </c>
      <c r="O54" s="14" t="s">
        <v>71</v>
      </c>
      <c r="P54" s="14" t="s">
        <v>88</v>
      </c>
    </row>
    <row r="55" spans="1:16" x14ac:dyDescent="0.35">
      <c r="A55" s="14" t="s">
        <v>185</v>
      </c>
      <c r="B55" s="15">
        <v>41685</v>
      </c>
      <c r="C55" s="14" t="s">
        <v>59</v>
      </c>
      <c r="D55" s="14" t="s">
        <v>61</v>
      </c>
      <c r="E55" s="14" t="s">
        <v>91</v>
      </c>
      <c r="F55" s="14" t="s">
        <v>132</v>
      </c>
      <c r="G55" s="14" t="s">
        <v>56</v>
      </c>
      <c r="H55" s="14">
        <v>2</v>
      </c>
      <c r="I55" s="16">
        <v>34.69</v>
      </c>
      <c r="J55" s="16">
        <v>15</v>
      </c>
      <c r="K55" s="16">
        <v>69.38</v>
      </c>
      <c r="L55" s="16">
        <v>39.380000000000003</v>
      </c>
      <c r="M55" s="14">
        <v>2014</v>
      </c>
      <c r="N55" s="14">
        <v>2</v>
      </c>
      <c r="O55" s="14" t="s">
        <v>71</v>
      </c>
      <c r="P55" s="14" t="s">
        <v>88</v>
      </c>
    </row>
    <row r="56" spans="1:16" x14ac:dyDescent="0.35">
      <c r="A56" s="14" t="s">
        <v>186</v>
      </c>
      <c r="B56" s="15">
        <v>41686</v>
      </c>
      <c r="C56" s="14" t="s">
        <v>55</v>
      </c>
      <c r="D56" s="14" t="s">
        <v>65</v>
      </c>
      <c r="E56" s="14" t="s">
        <v>98</v>
      </c>
      <c r="F56" s="14" t="s">
        <v>140</v>
      </c>
      <c r="G56" s="14" t="s">
        <v>56</v>
      </c>
      <c r="H56" s="14">
        <v>1</v>
      </c>
      <c r="I56" s="16">
        <v>157.97999999999999</v>
      </c>
      <c r="J56" s="16">
        <v>95</v>
      </c>
      <c r="K56" s="16">
        <v>157.97999999999999</v>
      </c>
      <c r="L56" s="16">
        <v>62.98</v>
      </c>
      <c r="M56" s="14">
        <v>2014</v>
      </c>
      <c r="N56" s="14">
        <v>2</v>
      </c>
      <c r="O56" s="14" t="s">
        <v>71</v>
      </c>
      <c r="P56" s="14" t="s">
        <v>88</v>
      </c>
    </row>
    <row r="57" spans="1:16" x14ac:dyDescent="0.35">
      <c r="A57" s="14" t="s">
        <v>187</v>
      </c>
      <c r="B57" s="15">
        <v>41686</v>
      </c>
      <c r="C57" s="14" t="s">
        <v>59</v>
      </c>
      <c r="D57" s="14" t="s">
        <v>68</v>
      </c>
      <c r="E57" s="14" t="s">
        <v>100</v>
      </c>
      <c r="F57" s="14" t="s">
        <v>140</v>
      </c>
      <c r="G57" s="14" t="s">
        <v>56</v>
      </c>
      <c r="H57" s="14">
        <v>2</v>
      </c>
      <c r="I57" s="16">
        <v>165.63</v>
      </c>
      <c r="J57" s="16">
        <v>95</v>
      </c>
      <c r="K57" s="16">
        <v>331.26</v>
      </c>
      <c r="L57" s="16">
        <v>141.26</v>
      </c>
      <c r="M57" s="14">
        <v>2014</v>
      </c>
      <c r="N57" s="14">
        <v>2</v>
      </c>
      <c r="O57" s="14" t="s">
        <v>71</v>
      </c>
      <c r="P57" s="14" t="s">
        <v>88</v>
      </c>
    </row>
    <row r="58" spans="1:16" x14ac:dyDescent="0.35">
      <c r="A58" s="14" t="s">
        <v>188</v>
      </c>
      <c r="B58" s="15">
        <v>41687</v>
      </c>
      <c r="C58" s="14" t="s">
        <v>57</v>
      </c>
      <c r="D58" s="14" t="s">
        <v>68</v>
      </c>
      <c r="E58" s="14" t="s">
        <v>98</v>
      </c>
      <c r="F58" s="14" t="s">
        <v>142</v>
      </c>
      <c r="G58" s="14" t="s">
        <v>58</v>
      </c>
      <c r="H58" s="14">
        <v>3</v>
      </c>
      <c r="I58" s="16">
        <v>10.87</v>
      </c>
      <c r="J58" s="16">
        <v>4</v>
      </c>
      <c r="K58" s="16">
        <v>32.61</v>
      </c>
      <c r="L58" s="16">
        <v>20.61</v>
      </c>
      <c r="M58" s="14">
        <v>2014</v>
      </c>
      <c r="N58" s="14">
        <v>2</v>
      </c>
      <c r="O58" s="14" t="s">
        <v>71</v>
      </c>
      <c r="P58" s="14" t="s">
        <v>88</v>
      </c>
    </row>
    <row r="59" spans="1:16" x14ac:dyDescent="0.35">
      <c r="A59" s="14" t="s">
        <v>189</v>
      </c>
      <c r="B59" s="15">
        <v>41689</v>
      </c>
      <c r="C59" s="14" t="s">
        <v>53</v>
      </c>
      <c r="D59" s="14" t="s">
        <v>67</v>
      </c>
      <c r="E59" s="14" t="s">
        <v>134</v>
      </c>
      <c r="F59" s="14" t="s">
        <v>140</v>
      </c>
      <c r="G59" s="14" t="s">
        <v>56</v>
      </c>
      <c r="H59" s="14">
        <v>2</v>
      </c>
      <c r="I59" s="16">
        <v>164.38</v>
      </c>
      <c r="J59" s="16">
        <v>95</v>
      </c>
      <c r="K59" s="16">
        <v>328.76</v>
      </c>
      <c r="L59" s="16">
        <v>138.76</v>
      </c>
      <c r="M59" s="14">
        <v>2014</v>
      </c>
      <c r="N59" s="14">
        <v>2</v>
      </c>
      <c r="O59" s="14" t="s">
        <v>71</v>
      </c>
      <c r="P59" s="14" t="s">
        <v>88</v>
      </c>
    </row>
    <row r="60" spans="1:16" x14ac:dyDescent="0.35">
      <c r="A60" s="14" t="s">
        <v>190</v>
      </c>
      <c r="B60" s="15">
        <v>41689</v>
      </c>
      <c r="C60" s="14" t="s">
        <v>55</v>
      </c>
      <c r="D60" s="14" t="s">
        <v>63</v>
      </c>
      <c r="E60" s="14" t="s">
        <v>134</v>
      </c>
      <c r="F60" s="14" t="s">
        <v>137</v>
      </c>
      <c r="G60" s="14" t="s">
        <v>54</v>
      </c>
      <c r="H60" s="14">
        <v>1</v>
      </c>
      <c r="I60" s="16">
        <v>266.92</v>
      </c>
      <c r="J60" s="16">
        <v>180</v>
      </c>
      <c r="K60" s="16">
        <v>266.92</v>
      </c>
      <c r="L60" s="16">
        <v>86.92</v>
      </c>
      <c r="M60" s="14">
        <v>2014</v>
      </c>
      <c r="N60" s="14">
        <v>2</v>
      </c>
      <c r="O60" s="14" t="s">
        <v>71</v>
      </c>
      <c r="P60" s="14" t="s">
        <v>88</v>
      </c>
    </row>
    <row r="61" spans="1:16" x14ac:dyDescent="0.35">
      <c r="A61" s="14" t="s">
        <v>191</v>
      </c>
      <c r="B61" s="15">
        <v>41689</v>
      </c>
      <c r="C61" s="14" t="s">
        <v>59</v>
      </c>
      <c r="D61" s="14" t="s">
        <v>61</v>
      </c>
      <c r="E61" s="14" t="s">
        <v>114</v>
      </c>
      <c r="F61" s="14" t="s">
        <v>125</v>
      </c>
      <c r="G61" s="14" t="s">
        <v>56</v>
      </c>
      <c r="H61" s="14">
        <v>2</v>
      </c>
      <c r="I61" s="16">
        <v>136.87</v>
      </c>
      <c r="J61" s="16">
        <v>70</v>
      </c>
      <c r="K61" s="16">
        <v>273.74</v>
      </c>
      <c r="L61" s="16">
        <v>133.74</v>
      </c>
      <c r="M61" s="14">
        <v>2014</v>
      </c>
      <c r="N61" s="14">
        <v>2</v>
      </c>
      <c r="O61" s="14" t="s">
        <v>71</v>
      </c>
      <c r="P61" s="14" t="s">
        <v>88</v>
      </c>
    </row>
    <row r="62" spans="1:16" x14ac:dyDescent="0.35">
      <c r="A62" s="14" t="s">
        <v>192</v>
      </c>
      <c r="B62" s="15">
        <v>41691</v>
      </c>
      <c r="C62" s="14" t="s">
        <v>55</v>
      </c>
      <c r="D62" s="14" t="s">
        <v>63</v>
      </c>
      <c r="E62" s="14" t="s">
        <v>144</v>
      </c>
      <c r="F62" s="14" t="s">
        <v>140</v>
      </c>
      <c r="G62" s="14" t="s">
        <v>56</v>
      </c>
      <c r="H62" s="14">
        <v>1</v>
      </c>
      <c r="I62" s="16">
        <v>165.41</v>
      </c>
      <c r="J62" s="16">
        <v>95</v>
      </c>
      <c r="K62" s="16">
        <v>165.41</v>
      </c>
      <c r="L62" s="16">
        <v>70.41</v>
      </c>
      <c r="M62" s="14">
        <v>2014</v>
      </c>
      <c r="N62" s="14">
        <v>2</v>
      </c>
      <c r="O62" s="14" t="s">
        <v>71</v>
      </c>
      <c r="P62" s="14" t="s">
        <v>88</v>
      </c>
    </row>
    <row r="63" spans="1:16" x14ac:dyDescent="0.35">
      <c r="A63" s="14" t="s">
        <v>193</v>
      </c>
      <c r="B63" s="15">
        <v>41691</v>
      </c>
      <c r="C63" s="14" t="s">
        <v>53</v>
      </c>
      <c r="D63" s="14" t="s">
        <v>64</v>
      </c>
      <c r="E63" s="14" t="s">
        <v>153</v>
      </c>
      <c r="F63" s="14" t="s">
        <v>137</v>
      </c>
      <c r="G63" s="14" t="s">
        <v>54</v>
      </c>
      <c r="H63" s="14">
        <v>4</v>
      </c>
      <c r="I63" s="16">
        <v>273.05</v>
      </c>
      <c r="J63" s="16">
        <v>180</v>
      </c>
      <c r="K63" s="16">
        <v>1092.2</v>
      </c>
      <c r="L63" s="16">
        <v>372.2</v>
      </c>
      <c r="M63" s="14">
        <v>2014</v>
      </c>
      <c r="N63" s="14">
        <v>2</v>
      </c>
      <c r="O63" s="14" t="s">
        <v>71</v>
      </c>
      <c r="P63" s="14" t="s">
        <v>90</v>
      </c>
    </row>
    <row r="64" spans="1:16" x14ac:dyDescent="0.35">
      <c r="A64" s="14" t="s">
        <v>194</v>
      </c>
      <c r="B64" s="15">
        <v>41691</v>
      </c>
      <c r="C64" s="14" t="s">
        <v>53</v>
      </c>
      <c r="D64" s="14" t="s">
        <v>64</v>
      </c>
      <c r="E64" s="14" t="s">
        <v>134</v>
      </c>
      <c r="F64" s="14" t="s">
        <v>142</v>
      </c>
      <c r="G64" s="14" t="s">
        <v>58</v>
      </c>
      <c r="H64" s="14">
        <v>1</v>
      </c>
      <c r="I64" s="16">
        <v>10.15</v>
      </c>
      <c r="J64" s="16">
        <v>4</v>
      </c>
      <c r="K64" s="16">
        <v>10.15</v>
      </c>
      <c r="L64" s="16">
        <v>6.15</v>
      </c>
      <c r="M64" s="14">
        <v>2014</v>
      </c>
      <c r="N64" s="14">
        <v>2</v>
      </c>
      <c r="O64" s="14" t="s">
        <v>71</v>
      </c>
      <c r="P64" s="14" t="s">
        <v>88</v>
      </c>
    </row>
    <row r="65" spans="1:16" x14ac:dyDescent="0.35">
      <c r="A65" s="14" t="s">
        <v>195</v>
      </c>
      <c r="B65" s="15">
        <v>41693</v>
      </c>
      <c r="C65" s="14" t="s">
        <v>57</v>
      </c>
      <c r="D65" s="14" t="s">
        <v>66</v>
      </c>
      <c r="E65" s="14" t="s">
        <v>100</v>
      </c>
      <c r="F65" s="14" t="s">
        <v>137</v>
      </c>
      <c r="G65" s="14" t="s">
        <v>54</v>
      </c>
      <c r="H65" s="14">
        <v>3</v>
      </c>
      <c r="I65" s="16">
        <v>270.56</v>
      </c>
      <c r="J65" s="16">
        <v>180</v>
      </c>
      <c r="K65" s="16">
        <v>811.68</v>
      </c>
      <c r="L65" s="16">
        <v>271.68</v>
      </c>
      <c r="M65" s="14">
        <v>2014</v>
      </c>
      <c r="N65" s="14">
        <v>2</v>
      </c>
      <c r="O65" s="14" t="s">
        <v>71</v>
      </c>
      <c r="P65" s="14" t="s">
        <v>88</v>
      </c>
    </row>
    <row r="66" spans="1:16" x14ac:dyDescent="0.35">
      <c r="A66" s="14" t="s">
        <v>196</v>
      </c>
      <c r="B66" s="15">
        <v>41695</v>
      </c>
      <c r="C66" s="14" t="s">
        <v>55</v>
      </c>
      <c r="D66" s="14" t="s">
        <v>65</v>
      </c>
      <c r="E66" s="14" t="s">
        <v>91</v>
      </c>
      <c r="F66" s="14" t="s">
        <v>125</v>
      </c>
      <c r="G66" s="14" t="s">
        <v>56</v>
      </c>
      <c r="H66" s="14">
        <v>1</v>
      </c>
      <c r="I66" s="16">
        <v>131.54</v>
      </c>
      <c r="J66" s="16">
        <v>70</v>
      </c>
      <c r="K66" s="16">
        <v>131.54</v>
      </c>
      <c r="L66" s="16">
        <v>61.54</v>
      </c>
      <c r="M66" s="14">
        <v>2014</v>
      </c>
      <c r="N66" s="14">
        <v>2</v>
      </c>
      <c r="O66" s="14" t="s">
        <v>71</v>
      </c>
      <c r="P66" s="14" t="s">
        <v>88</v>
      </c>
    </row>
    <row r="67" spans="1:16" x14ac:dyDescent="0.35">
      <c r="A67" s="14" t="s">
        <v>197</v>
      </c>
      <c r="B67" s="15">
        <v>41695</v>
      </c>
      <c r="C67" s="14" t="s">
        <v>59</v>
      </c>
      <c r="D67" s="14" t="s">
        <v>61</v>
      </c>
      <c r="E67" s="14" t="s">
        <v>139</v>
      </c>
      <c r="F67" s="14" t="s">
        <v>156</v>
      </c>
      <c r="G67" s="14" t="s">
        <v>54</v>
      </c>
      <c r="H67" s="14">
        <v>2</v>
      </c>
      <c r="I67" s="16">
        <v>41.87</v>
      </c>
      <c r="J67" s="16">
        <v>18</v>
      </c>
      <c r="K67" s="16">
        <v>83.74</v>
      </c>
      <c r="L67" s="16">
        <v>47.74</v>
      </c>
      <c r="M67" s="14">
        <v>2014</v>
      </c>
      <c r="N67" s="14">
        <v>2</v>
      </c>
      <c r="O67" s="14" t="s">
        <v>71</v>
      </c>
      <c r="P67" s="14" t="s">
        <v>88</v>
      </c>
    </row>
    <row r="68" spans="1:16" x14ac:dyDescent="0.35">
      <c r="A68" s="14" t="s">
        <v>198</v>
      </c>
      <c r="B68" s="15">
        <v>41696</v>
      </c>
      <c r="C68" s="14" t="s">
        <v>59</v>
      </c>
      <c r="D68" s="14" t="s">
        <v>68</v>
      </c>
      <c r="E68" s="14" t="s">
        <v>114</v>
      </c>
      <c r="F68" s="14" t="s">
        <v>140</v>
      </c>
      <c r="G68" s="14" t="s">
        <v>56</v>
      </c>
      <c r="H68" s="14">
        <v>2</v>
      </c>
      <c r="I68" s="16">
        <v>156.88</v>
      </c>
      <c r="J68" s="16">
        <v>95</v>
      </c>
      <c r="K68" s="16">
        <v>313.76</v>
      </c>
      <c r="L68" s="16">
        <v>123.76</v>
      </c>
      <c r="M68" s="14">
        <v>2014</v>
      </c>
      <c r="N68" s="14">
        <v>2</v>
      </c>
      <c r="O68" s="14" t="s">
        <v>71</v>
      </c>
      <c r="P68" s="14" t="s">
        <v>88</v>
      </c>
    </row>
    <row r="69" spans="1:16" x14ac:dyDescent="0.35">
      <c r="A69" s="14" t="s">
        <v>199</v>
      </c>
      <c r="B69" s="15">
        <v>41697</v>
      </c>
      <c r="C69" s="14" t="s">
        <v>57</v>
      </c>
      <c r="D69" s="14" t="s">
        <v>66</v>
      </c>
      <c r="E69" s="14" t="s">
        <v>131</v>
      </c>
      <c r="F69" s="14" t="s">
        <v>142</v>
      </c>
      <c r="G69" s="14" t="s">
        <v>58</v>
      </c>
      <c r="H69" s="14">
        <v>1</v>
      </c>
      <c r="I69" s="16">
        <v>10.35</v>
      </c>
      <c r="J69" s="16">
        <v>4</v>
      </c>
      <c r="K69" s="16">
        <v>10.35</v>
      </c>
      <c r="L69" s="16">
        <v>6.35</v>
      </c>
      <c r="M69" s="14">
        <v>2014</v>
      </c>
      <c r="N69" s="14">
        <v>2</v>
      </c>
      <c r="O69" s="14" t="s">
        <v>71</v>
      </c>
      <c r="P69" s="14" t="s">
        <v>88</v>
      </c>
    </row>
    <row r="70" spans="1:16" x14ac:dyDescent="0.35">
      <c r="A70" s="14" t="s">
        <v>200</v>
      </c>
      <c r="B70" s="15">
        <v>41697</v>
      </c>
      <c r="C70" s="14" t="s">
        <v>57</v>
      </c>
      <c r="D70" s="14" t="s">
        <v>66</v>
      </c>
      <c r="E70" s="14" t="s">
        <v>134</v>
      </c>
      <c r="F70" s="14" t="s">
        <v>142</v>
      </c>
      <c r="G70" s="14" t="s">
        <v>58</v>
      </c>
      <c r="H70" s="14">
        <v>3</v>
      </c>
      <c r="I70" s="16">
        <v>10.11</v>
      </c>
      <c r="J70" s="16">
        <v>4</v>
      </c>
      <c r="K70" s="16">
        <v>30.33</v>
      </c>
      <c r="L70" s="16">
        <v>18.329999999999998</v>
      </c>
      <c r="M70" s="14">
        <v>2014</v>
      </c>
      <c r="N70" s="14">
        <v>2</v>
      </c>
      <c r="O70" s="14" t="s">
        <v>71</v>
      </c>
      <c r="P70" s="14" t="s">
        <v>88</v>
      </c>
    </row>
    <row r="71" spans="1:16" x14ac:dyDescent="0.35">
      <c r="A71" s="14" t="s">
        <v>201</v>
      </c>
      <c r="B71" s="15">
        <v>41697</v>
      </c>
      <c r="C71" s="14" t="s">
        <v>53</v>
      </c>
      <c r="D71" s="14" t="s">
        <v>67</v>
      </c>
      <c r="E71" s="14" t="s">
        <v>87</v>
      </c>
      <c r="F71" s="14" t="s">
        <v>123</v>
      </c>
      <c r="G71" s="14" t="s">
        <v>54</v>
      </c>
      <c r="H71" s="14">
        <v>3</v>
      </c>
      <c r="I71" s="16">
        <v>60.9</v>
      </c>
      <c r="J71" s="16">
        <v>28</v>
      </c>
      <c r="K71" s="16">
        <v>182.7</v>
      </c>
      <c r="L71" s="16">
        <v>98.7</v>
      </c>
      <c r="M71" s="14">
        <v>2014</v>
      </c>
      <c r="N71" s="14">
        <v>2</v>
      </c>
      <c r="O71" s="14" t="s">
        <v>71</v>
      </c>
      <c r="P71" s="14" t="s">
        <v>88</v>
      </c>
    </row>
    <row r="72" spans="1:16" x14ac:dyDescent="0.35">
      <c r="A72" s="14" t="s">
        <v>202</v>
      </c>
      <c r="B72" s="15">
        <v>41698</v>
      </c>
      <c r="C72" s="14" t="s">
        <v>55</v>
      </c>
      <c r="D72" s="14" t="s">
        <v>63</v>
      </c>
      <c r="E72" s="14" t="s">
        <v>91</v>
      </c>
      <c r="F72" s="14" t="s">
        <v>115</v>
      </c>
      <c r="G72" s="14" t="s">
        <v>56</v>
      </c>
      <c r="H72" s="14">
        <v>2</v>
      </c>
      <c r="I72" s="16">
        <v>389.92</v>
      </c>
      <c r="J72" s="16">
        <v>220</v>
      </c>
      <c r="K72" s="16">
        <v>779.84</v>
      </c>
      <c r="L72" s="16">
        <v>339.84</v>
      </c>
      <c r="M72" s="14">
        <v>2014</v>
      </c>
      <c r="N72" s="14">
        <v>2</v>
      </c>
      <c r="O72" s="14" t="s">
        <v>71</v>
      </c>
      <c r="P72" s="14" t="s">
        <v>88</v>
      </c>
    </row>
    <row r="73" spans="1:16" x14ac:dyDescent="0.35">
      <c r="A73" s="14" t="s">
        <v>203</v>
      </c>
      <c r="B73" s="15">
        <v>41698</v>
      </c>
      <c r="C73" s="14" t="s">
        <v>57</v>
      </c>
      <c r="D73" s="14" t="s">
        <v>66</v>
      </c>
      <c r="E73" s="14" t="s">
        <v>144</v>
      </c>
      <c r="F73" s="14" t="s">
        <v>123</v>
      </c>
      <c r="G73" s="14" t="s">
        <v>54</v>
      </c>
      <c r="H73" s="14">
        <v>2</v>
      </c>
      <c r="I73" s="16">
        <v>59.63</v>
      </c>
      <c r="J73" s="16">
        <v>28</v>
      </c>
      <c r="K73" s="16">
        <v>119.26</v>
      </c>
      <c r="L73" s="16">
        <v>63.26</v>
      </c>
      <c r="M73" s="14">
        <v>2014</v>
      </c>
      <c r="N73" s="14">
        <v>2</v>
      </c>
      <c r="O73" s="14" t="s">
        <v>71</v>
      </c>
      <c r="P73" s="14" t="s">
        <v>88</v>
      </c>
    </row>
    <row r="74" spans="1:16" x14ac:dyDescent="0.35">
      <c r="A74" s="14" t="s">
        <v>204</v>
      </c>
      <c r="B74" s="15">
        <v>41698</v>
      </c>
      <c r="C74" s="14" t="s">
        <v>53</v>
      </c>
      <c r="D74" s="14" t="s">
        <v>64</v>
      </c>
      <c r="E74" s="14" t="s">
        <v>134</v>
      </c>
      <c r="F74" s="14" t="s">
        <v>125</v>
      </c>
      <c r="G74" s="14" t="s">
        <v>56</v>
      </c>
      <c r="H74" s="14">
        <v>5</v>
      </c>
      <c r="I74" s="16">
        <v>132.63</v>
      </c>
      <c r="J74" s="16">
        <v>70</v>
      </c>
      <c r="K74" s="16">
        <v>663.15</v>
      </c>
      <c r="L74" s="16">
        <v>313.14999999999998</v>
      </c>
      <c r="M74" s="14">
        <v>2014</v>
      </c>
      <c r="N74" s="14">
        <v>2</v>
      </c>
      <c r="O74" s="14" t="s">
        <v>71</v>
      </c>
      <c r="P74" s="14" t="s">
        <v>88</v>
      </c>
    </row>
    <row r="75" spans="1:16" x14ac:dyDescent="0.35">
      <c r="A75" s="14" t="s">
        <v>205</v>
      </c>
      <c r="B75" s="15">
        <v>41699</v>
      </c>
      <c r="C75" s="14" t="s">
        <v>59</v>
      </c>
      <c r="D75" s="14" t="s">
        <v>61</v>
      </c>
      <c r="E75" s="14" t="s">
        <v>150</v>
      </c>
      <c r="F75" s="14" t="s">
        <v>125</v>
      </c>
      <c r="G75" s="14" t="s">
        <v>56</v>
      </c>
      <c r="H75" s="14">
        <v>1</v>
      </c>
      <c r="I75" s="16">
        <v>160.53</v>
      </c>
      <c r="J75" s="16">
        <v>70</v>
      </c>
      <c r="K75" s="16">
        <v>160.53</v>
      </c>
      <c r="L75" s="16">
        <v>90.53</v>
      </c>
      <c r="M75" s="14">
        <v>2014</v>
      </c>
      <c r="N75" s="14">
        <v>3</v>
      </c>
      <c r="O75" s="14" t="s">
        <v>72</v>
      </c>
      <c r="P75" s="14" t="s">
        <v>88</v>
      </c>
    </row>
    <row r="76" spans="1:16" x14ac:dyDescent="0.35">
      <c r="A76" s="14" t="s">
        <v>206</v>
      </c>
      <c r="B76" s="15">
        <v>41700</v>
      </c>
      <c r="C76" s="14" t="s">
        <v>55</v>
      </c>
      <c r="D76" s="14" t="s">
        <v>63</v>
      </c>
      <c r="E76" s="14" t="s">
        <v>89</v>
      </c>
      <c r="F76" s="14" t="s">
        <v>118</v>
      </c>
      <c r="G76" s="14" t="s">
        <v>54</v>
      </c>
      <c r="H76" s="14">
        <v>2</v>
      </c>
      <c r="I76" s="16">
        <v>27.65</v>
      </c>
      <c r="J76" s="16">
        <v>12</v>
      </c>
      <c r="K76" s="16">
        <v>55.3</v>
      </c>
      <c r="L76" s="16">
        <v>31.3</v>
      </c>
      <c r="M76" s="14">
        <v>2014</v>
      </c>
      <c r="N76" s="14">
        <v>3</v>
      </c>
      <c r="O76" s="14" t="s">
        <v>72</v>
      </c>
      <c r="P76" s="14" t="s">
        <v>88</v>
      </c>
    </row>
    <row r="77" spans="1:16" x14ac:dyDescent="0.35">
      <c r="A77" s="14" t="s">
        <v>207</v>
      </c>
      <c r="B77" s="15">
        <v>41702</v>
      </c>
      <c r="C77" s="14" t="s">
        <v>59</v>
      </c>
      <c r="D77" s="14" t="s">
        <v>63</v>
      </c>
      <c r="E77" s="14" t="s">
        <v>91</v>
      </c>
      <c r="F77" s="14" t="s">
        <v>125</v>
      </c>
      <c r="G77" s="14" t="s">
        <v>56</v>
      </c>
      <c r="H77" s="14">
        <v>5</v>
      </c>
      <c r="I77" s="16">
        <v>160.52000000000001</v>
      </c>
      <c r="J77" s="16">
        <v>70</v>
      </c>
      <c r="K77" s="16">
        <v>802.6</v>
      </c>
      <c r="L77" s="16">
        <v>452.6</v>
      </c>
      <c r="M77" s="14">
        <v>2014</v>
      </c>
      <c r="N77" s="14">
        <v>3</v>
      </c>
      <c r="O77" s="14" t="s">
        <v>72</v>
      </c>
      <c r="P77" s="14" t="s">
        <v>88</v>
      </c>
    </row>
    <row r="78" spans="1:16" x14ac:dyDescent="0.35">
      <c r="A78" s="14" t="s">
        <v>208</v>
      </c>
      <c r="B78" s="15">
        <v>41702</v>
      </c>
      <c r="C78" s="14" t="s">
        <v>59</v>
      </c>
      <c r="D78" s="14" t="s">
        <v>68</v>
      </c>
      <c r="E78" s="14" t="s">
        <v>87</v>
      </c>
      <c r="F78" s="14" t="s">
        <v>137</v>
      </c>
      <c r="G78" s="14" t="s">
        <v>54</v>
      </c>
      <c r="H78" s="14">
        <v>5</v>
      </c>
      <c r="I78" s="16">
        <v>339.02</v>
      </c>
      <c r="J78" s="16">
        <v>180</v>
      </c>
      <c r="K78" s="16">
        <v>1695.1</v>
      </c>
      <c r="L78" s="16">
        <v>795.1</v>
      </c>
      <c r="M78" s="14">
        <v>2014</v>
      </c>
      <c r="N78" s="14">
        <v>3</v>
      </c>
      <c r="O78" s="14" t="s">
        <v>72</v>
      </c>
      <c r="P78" s="14" t="s">
        <v>90</v>
      </c>
    </row>
    <row r="79" spans="1:16" x14ac:dyDescent="0.35">
      <c r="A79" s="14" t="s">
        <v>209</v>
      </c>
      <c r="B79" s="15">
        <v>41706</v>
      </c>
      <c r="C79" s="14" t="s">
        <v>59</v>
      </c>
      <c r="D79" s="14" t="s">
        <v>68</v>
      </c>
      <c r="E79" s="14" t="s">
        <v>117</v>
      </c>
      <c r="F79" s="14" t="s">
        <v>125</v>
      </c>
      <c r="G79" s="14" t="s">
        <v>56</v>
      </c>
      <c r="H79" s="14">
        <v>2</v>
      </c>
      <c r="I79" s="16">
        <v>161.66999999999999</v>
      </c>
      <c r="J79" s="16">
        <v>70</v>
      </c>
      <c r="K79" s="16">
        <v>323.33999999999997</v>
      </c>
      <c r="L79" s="16">
        <v>183.34</v>
      </c>
      <c r="M79" s="14">
        <v>2014</v>
      </c>
      <c r="N79" s="14">
        <v>3</v>
      </c>
      <c r="O79" s="14" t="s">
        <v>72</v>
      </c>
      <c r="P79" s="14" t="s">
        <v>88</v>
      </c>
    </row>
    <row r="80" spans="1:16" x14ac:dyDescent="0.35">
      <c r="A80" s="14" t="s">
        <v>210</v>
      </c>
      <c r="B80" s="15">
        <v>41707</v>
      </c>
      <c r="C80" s="14" t="s">
        <v>53</v>
      </c>
      <c r="D80" s="14" t="s">
        <v>64</v>
      </c>
      <c r="E80" s="14" t="s">
        <v>153</v>
      </c>
      <c r="F80" s="14" t="s">
        <v>118</v>
      </c>
      <c r="G80" s="14" t="s">
        <v>54</v>
      </c>
      <c r="H80" s="14">
        <v>1</v>
      </c>
      <c r="I80" s="16">
        <v>29.35</v>
      </c>
      <c r="J80" s="16">
        <v>12</v>
      </c>
      <c r="K80" s="16">
        <v>29.35</v>
      </c>
      <c r="L80" s="16">
        <v>17.350000000000001</v>
      </c>
      <c r="M80" s="14">
        <v>2014</v>
      </c>
      <c r="N80" s="14">
        <v>3</v>
      </c>
      <c r="O80" s="14" t="s">
        <v>72</v>
      </c>
      <c r="P80" s="14" t="s">
        <v>88</v>
      </c>
    </row>
    <row r="81" spans="1:16" x14ac:dyDescent="0.35">
      <c r="A81" s="14" t="s">
        <v>211</v>
      </c>
      <c r="B81" s="15">
        <v>41707</v>
      </c>
      <c r="C81" s="14" t="s">
        <v>59</v>
      </c>
      <c r="D81" s="14" t="s">
        <v>61</v>
      </c>
      <c r="E81" s="14" t="s">
        <v>89</v>
      </c>
      <c r="F81" s="14" t="s">
        <v>156</v>
      </c>
      <c r="G81" s="14" t="s">
        <v>54</v>
      </c>
      <c r="H81" s="14">
        <v>1</v>
      </c>
      <c r="I81" s="16">
        <v>50.49</v>
      </c>
      <c r="J81" s="16">
        <v>18</v>
      </c>
      <c r="K81" s="16">
        <v>50.49</v>
      </c>
      <c r="L81" s="16">
        <v>32.49</v>
      </c>
      <c r="M81" s="14">
        <v>2014</v>
      </c>
      <c r="N81" s="14">
        <v>3</v>
      </c>
      <c r="O81" s="14" t="s">
        <v>72</v>
      </c>
      <c r="P81" s="14" t="s">
        <v>88</v>
      </c>
    </row>
    <row r="82" spans="1:16" x14ac:dyDescent="0.35">
      <c r="A82" s="14" t="s">
        <v>212</v>
      </c>
      <c r="B82" s="15">
        <v>41708</v>
      </c>
      <c r="C82" s="14" t="s">
        <v>53</v>
      </c>
      <c r="D82" s="14" t="s">
        <v>61</v>
      </c>
      <c r="E82" s="14" t="s">
        <v>98</v>
      </c>
      <c r="F82" s="14" t="s">
        <v>115</v>
      </c>
      <c r="G82" s="14" t="s">
        <v>56</v>
      </c>
      <c r="H82" s="14">
        <v>2</v>
      </c>
      <c r="I82" s="16">
        <v>458.99</v>
      </c>
      <c r="J82" s="16">
        <v>220</v>
      </c>
      <c r="K82" s="16">
        <v>917.98</v>
      </c>
      <c r="L82" s="16">
        <v>477.98</v>
      </c>
      <c r="M82" s="14">
        <v>2014</v>
      </c>
      <c r="N82" s="14">
        <v>3</v>
      </c>
      <c r="O82" s="14" t="s">
        <v>72</v>
      </c>
      <c r="P82" s="14" t="s">
        <v>88</v>
      </c>
    </row>
    <row r="83" spans="1:16" x14ac:dyDescent="0.35">
      <c r="A83" s="14" t="s">
        <v>213</v>
      </c>
      <c r="B83" s="15">
        <v>41709</v>
      </c>
      <c r="C83" s="14" t="s">
        <v>57</v>
      </c>
      <c r="D83" s="14" t="s">
        <v>62</v>
      </c>
      <c r="E83" s="14" t="s">
        <v>153</v>
      </c>
      <c r="F83" s="14" t="s">
        <v>128</v>
      </c>
      <c r="G83" s="14" t="s">
        <v>54</v>
      </c>
      <c r="H83" s="14">
        <v>5</v>
      </c>
      <c r="I83" s="16">
        <v>91.76</v>
      </c>
      <c r="J83" s="16">
        <v>40</v>
      </c>
      <c r="K83" s="16">
        <v>458.8</v>
      </c>
      <c r="L83" s="16">
        <v>258.8</v>
      </c>
      <c r="M83" s="14">
        <v>2014</v>
      </c>
      <c r="N83" s="14">
        <v>3</v>
      </c>
      <c r="O83" s="14" t="s">
        <v>72</v>
      </c>
      <c r="P83" s="14" t="s">
        <v>88</v>
      </c>
    </row>
    <row r="84" spans="1:16" x14ac:dyDescent="0.35">
      <c r="A84" s="14" t="s">
        <v>214</v>
      </c>
      <c r="B84" s="15">
        <v>41710</v>
      </c>
      <c r="C84" s="14" t="s">
        <v>57</v>
      </c>
      <c r="D84" s="14" t="s">
        <v>66</v>
      </c>
      <c r="E84" s="14" t="s">
        <v>91</v>
      </c>
      <c r="F84" s="14" t="s">
        <v>142</v>
      </c>
      <c r="G84" s="14" t="s">
        <v>58</v>
      </c>
      <c r="H84" s="14">
        <v>1</v>
      </c>
      <c r="I84" s="16">
        <v>12.02</v>
      </c>
      <c r="J84" s="16">
        <v>4</v>
      </c>
      <c r="K84" s="16">
        <v>12.02</v>
      </c>
      <c r="L84" s="16">
        <v>8.02</v>
      </c>
      <c r="M84" s="14">
        <v>2014</v>
      </c>
      <c r="N84" s="14">
        <v>3</v>
      </c>
      <c r="O84" s="14" t="s">
        <v>72</v>
      </c>
      <c r="P84" s="14" t="s">
        <v>88</v>
      </c>
    </row>
    <row r="85" spans="1:16" x14ac:dyDescent="0.35">
      <c r="A85" s="14" t="s">
        <v>215</v>
      </c>
      <c r="B85" s="15">
        <v>41710</v>
      </c>
      <c r="C85" s="14" t="s">
        <v>55</v>
      </c>
      <c r="D85" s="14" t="s">
        <v>65</v>
      </c>
      <c r="E85" s="14" t="s">
        <v>98</v>
      </c>
      <c r="F85" s="14" t="s">
        <v>128</v>
      </c>
      <c r="G85" s="14" t="s">
        <v>54</v>
      </c>
      <c r="H85" s="14">
        <v>1</v>
      </c>
      <c r="I85" s="16">
        <v>92.23</v>
      </c>
      <c r="J85" s="16">
        <v>40</v>
      </c>
      <c r="K85" s="16">
        <v>92.23</v>
      </c>
      <c r="L85" s="16">
        <v>52.23</v>
      </c>
      <c r="M85" s="14">
        <v>2014</v>
      </c>
      <c r="N85" s="14">
        <v>3</v>
      </c>
      <c r="O85" s="14" t="s">
        <v>72</v>
      </c>
      <c r="P85" s="14" t="s">
        <v>88</v>
      </c>
    </row>
    <row r="86" spans="1:16" x14ac:dyDescent="0.35">
      <c r="A86" s="14" t="s">
        <v>216</v>
      </c>
      <c r="B86" s="15">
        <v>41711</v>
      </c>
      <c r="C86" s="14" t="s">
        <v>55</v>
      </c>
      <c r="D86" s="14" t="s">
        <v>63</v>
      </c>
      <c r="E86" s="14" t="s">
        <v>117</v>
      </c>
      <c r="F86" s="14" t="s">
        <v>140</v>
      </c>
      <c r="G86" s="14" t="s">
        <v>56</v>
      </c>
      <c r="H86" s="14">
        <v>1</v>
      </c>
      <c r="I86" s="16">
        <v>184</v>
      </c>
      <c r="J86" s="16">
        <v>95</v>
      </c>
      <c r="K86" s="16">
        <v>184</v>
      </c>
      <c r="L86" s="16">
        <v>89</v>
      </c>
      <c r="M86" s="14">
        <v>2014</v>
      </c>
      <c r="N86" s="14">
        <v>3</v>
      </c>
      <c r="O86" s="14" t="s">
        <v>72</v>
      </c>
      <c r="P86" s="14" t="s">
        <v>88</v>
      </c>
    </row>
    <row r="87" spans="1:16" x14ac:dyDescent="0.35">
      <c r="A87" s="14" t="s">
        <v>217</v>
      </c>
      <c r="B87" s="15">
        <v>41711</v>
      </c>
      <c r="C87" s="14" t="s">
        <v>55</v>
      </c>
      <c r="D87" s="14" t="s">
        <v>65</v>
      </c>
      <c r="E87" s="14" t="s">
        <v>164</v>
      </c>
      <c r="F87" s="14" t="s">
        <v>156</v>
      </c>
      <c r="G87" s="14" t="s">
        <v>54</v>
      </c>
      <c r="H87" s="14">
        <v>2</v>
      </c>
      <c r="I87" s="16">
        <v>49.49</v>
      </c>
      <c r="J87" s="16">
        <v>18</v>
      </c>
      <c r="K87" s="16">
        <v>98.98</v>
      </c>
      <c r="L87" s="16">
        <v>62.98</v>
      </c>
      <c r="M87" s="14">
        <v>2014</v>
      </c>
      <c r="N87" s="14">
        <v>3</v>
      </c>
      <c r="O87" s="14" t="s">
        <v>72</v>
      </c>
      <c r="P87" s="14" t="s">
        <v>88</v>
      </c>
    </row>
    <row r="88" spans="1:16" x14ac:dyDescent="0.35">
      <c r="A88" s="14" t="s">
        <v>218</v>
      </c>
      <c r="B88" s="15">
        <v>41712</v>
      </c>
      <c r="C88" s="14" t="s">
        <v>55</v>
      </c>
      <c r="D88" s="14" t="s">
        <v>64</v>
      </c>
      <c r="E88" s="14" t="s">
        <v>153</v>
      </c>
      <c r="F88" s="14" t="s">
        <v>125</v>
      </c>
      <c r="G88" s="14" t="s">
        <v>56</v>
      </c>
      <c r="H88" s="14">
        <v>2</v>
      </c>
      <c r="I88" s="16">
        <v>165.29</v>
      </c>
      <c r="J88" s="16">
        <v>70</v>
      </c>
      <c r="K88" s="16">
        <v>330.58</v>
      </c>
      <c r="L88" s="16">
        <v>190.58</v>
      </c>
      <c r="M88" s="14">
        <v>2014</v>
      </c>
      <c r="N88" s="14">
        <v>3</v>
      </c>
      <c r="O88" s="14" t="s">
        <v>72</v>
      </c>
      <c r="P88" s="14" t="s">
        <v>88</v>
      </c>
    </row>
    <row r="89" spans="1:16" x14ac:dyDescent="0.35">
      <c r="A89" s="14" t="s">
        <v>219</v>
      </c>
      <c r="B89" s="15">
        <v>41714</v>
      </c>
      <c r="C89" s="14" t="s">
        <v>59</v>
      </c>
      <c r="D89" s="14" t="s">
        <v>61</v>
      </c>
      <c r="E89" s="14" t="s">
        <v>114</v>
      </c>
      <c r="F89" s="14" t="s">
        <v>115</v>
      </c>
      <c r="G89" s="14" t="s">
        <v>56</v>
      </c>
      <c r="H89" s="14">
        <v>1</v>
      </c>
      <c r="I89" s="16">
        <v>465.45</v>
      </c>
      <c r="J89" s="16">
        <v>220</v>
      </c>
      <c r="K89" s="16">
        <v>465.45</v>
      </c>
      <c r="L89" s="16">
        <v>245.45</v>
      </c>
      <c r="M89" s="14">
        <v>2014</v>
      </c>
      <c r="N89" s="14">
        <v>3</v>
      </c>
      <c r="O89" s="14" t="s">
        <v>72</v>
      </c>
      <c r="P89" s="14" t="s">
        <v>88</v>
      </c>
    </row>
    <row r="90" spans="1:16" x14ac:dyDescent="0.35">
      <c r="A90" s="14" t="s">
        <v>220</v>
      </c>
      <c r="B90" s="15">
        <v>41714</v>
      </c>
      <c r="C90" s="14" t="s">
        <v>53</v>
      </c>
      <c r="D90" s="14" t="s">
        <v>67</v>
      </c>
      <c r="E90" s="14" t="s">
        <v>117</v>
      </c>
      <c r="F90" s="14" t="s">
        <v>142</v>
      </c>
      <c r="G90" s="14" t="s">
        <v>58</v>
      </c>
      <c r="H90" s="14">
        <v>3</v>
      </c>
      <c r="I90" s="16">
        <v>12.08</v>
      </c>
      <c r="J90" s="16">
        <v>4</v>
      </c>
      <c r="K90" s="16">
        <v>36.24</v>
      </c>
      <c r="L90" s="16">
        <v>24.24</v>
      </c>
      <c r="M90" s="14">
        <v>2014</v>
      </c>
      <c r="N90" s="14">
        <v>3</v>
      </c>
      <c r="O90" s="14" t="s">
        <v>72</v>
      </c>
      <c r="P90" s="14" t="s">
        <v>88</v>
      </c>
    </row>
    <row r="91" spans="1:16" x14ac:dyDescent="0.35">
      <c r="A91" s="14" t="s">
        <v>221</v>
      </c>
      <c r="B91" s="15">
        <v>41716</v>
      </c>
      <c r="C91" s="14" t="s">
        <v>53</v>
      </c>
      <c r="D91" s="14" t="s">
        <v>64</v>
      </c>
      <c r="E91" s="14" t="s">
        <v>114</v>
      </c>
      <c r="F91" s="14" t="s">
        <v>125</v>
      </c>
      <c r="G91" s="14" t="s">
        <v>56</v>
      </c>
      <c r="H91" s="14">
        <v>2</v>
      </c>
      <c r="I91" s="16">
        <v>164.55</v>
      </c>
      <c r="J91" s="16">
        <v>70</v>
      </c>
      <c r="K91" s="16">
        <v>329.1</v>
      </c>
      <c r="L91" s="16">
        <v>189.1</v>
      </c>
      <c r="M91" s="14">
        <v>2014</v>
      </c>
      <c r="N91" s="14">
        <v>3</v>
      </c>
      <c r="O91" s="14" t="s">
        <v>72</v>
      </c>
      <c r="P91" s="14" t="s">
        <v>88</v>
      </c>
    </row>
    <row r="92" spans="1:16" x14ac:dyDescent="0.35">
      <c r="A92" s="14" t="s">
        <v>222</v>
      </c>
      <c r="B92" s="15">
        <v>41716</v>
      </c>
      <c r="C92" s="14" t="s">
        <v>59</v>
      </c>
      <c r="D92" s="14" t="s">
        <v>61</v>
      </c>
      <c r="E92" s="14" t="s">
        <v>131</v>
      </c>
      <c r="F92" s="14" t="s">
        <v>140</v>
      </c>
      <c r="G92" s="14" t="s">
        <v>56</v>
      </c>
      <c r="H92" s="14">
        <v>2</v>
      </c>
      <c r="I92" s="16">
        <v>196.82</v>
      </c>
      <c r="J92" s="16">
        <v>95</v>
      </c>
      <c r="K92" s="16">
        <v>393.64</v>
      </c>
      <c r="L92" s="16">
        <v>203.64</v>
      </c>
      <c r="M92" s="14">
        <v>2014</v>
      </c>
      <c r="N92" s="14">
        <v>3</v>
      </c>
      <c r="O92" s="14" t="s">
        <v>72</v>
      </c>
      <c r="P92" s="14" t="s">
        <v>88</v>
      </c>
    </row>
    <row r="93" spans="1:16" x14ac:dyDescent="0.35">
      <c r="A93" s="14" t="s">
        <v>223</v>
      </c>
      <c r="B93" s="15">
        <v>41717</v>
      </c>
      <c r="C93" s="14" t="s">
        <v>53</v>
      </c>
      <c r="D93" s="14" t="s">
        <v>67</v>
      </c>
      <c r="E93" s="14" t="s">
        <v>114</v>
      </c>
      <c r="F93" s="14" t="s">
        <v>137</v>
      </c>
      <c r="G93" s="14" t="s">
        <v>54</v>
      </c>
      <c r="H93" s="14">
        <v>5</v>
      </c>
      <c r="I93" s="16">
        <v>315.32</v>
      </c>
      <c r="J93" s="16">
        <v>180</v>
      </c>
      <c r="K93" s="16">
        <v>1576.6</v>
      </c>
      <c r="L93" s="16">
        <v>676.6</v>
      </c>
      <c r="M93" s="14">
        <v>2014</v>
      </c>
      <c r="N93" s="14">
        <v>3</v>
      </c>
      <c r="O93" s="14" t="s">
        <v>72</v>
      </c>
      <c r="P93" s="14" t="s">
        <v>90</v>
      </c>
    </row>
    <row r="94" spans="1:16" x14ac:dyDescent="0.35">
      <c r="A94" s="14" t="s">
        <v>224</v>
      </c>
      <c r="B94" s="15">
        <v>41720</v>
      </c>
      <c r="C94" s="14" t="s">
        <v>53</v>
      </c>
      <c r="D94" s="14" t="s">
        <v>67</v>
      </c>
      <c r="E94" s="14" t="s">
        <v>144</v>
      </c>
      <c r="F94" s="14" t="s">
        <v>128</v>
      </c>
      <c r="G94" s="14" t="s">
        <v>54</v>
      </c>
      <c r="H94" s="14">
        <v>3</v>
      </c>
      <c r="I94" s="16">
        <v>88.87</v>
      </c>
      <c r="J94" s="16">
        <v>40</v>
      </c>
      <c r="K94" s="16">
        <v>266.61</v>
      </c>
      <c r="L94" s="16">
        <v>146.61000000000001</v>
      </c>
      <c r="M94" s="14">
        <v>2014</v>
      </c>
      <c r="N94" s="14">
        <v>3</v>
      </c>
      <c r="O94" s="14" t="s">
        <v>72</v>
      </c>
      <c r="P94" s="14" t="s">
        <v>88</v>
      </c>
    </row>
    <row r="95" spans="1:16" x14ac:dyDescent="0.35">
      <c r="A95" s="14" t="s">
        <v>225</v>
      </c>
      <c r="B95" s="15">
        <v>41720</v>
      </c>
      <c r="C95" s="14" t="s">
        <v>55</v>
      </c>
      <c r="D95" s="14" t="s">
        <v>63</v>
      </c>
      <c r="E95" s="14" t="s">
        <v>131</v>
      </c>
      <c r="F95" s="14" t="s">
        <v>115</v>
      </c>
      <c r="G95" s="14" t="s">
        <v>56</v>
      </c>
      <c r="H95" s="14">
        <v>1</v>
      </c>
      <c r="I95" s="16">
        <v>448.62</v>
      </c>
      <c r="J95" s="16">
        <v>220</v>
      </c>
      <c r="K95" s="16">
        <v>448.62</v>
      </c>
      <c r="L95" s="16">
        <v>228.62</v>
      </c>
      <c r="M95" s="14">
        <v>2014</v>
      </c>
      <c r="N95" s="14">
        <v>3</v>
      </c>
      <c r="O95" s="14" t="s">
        <v>72</v>
      </c>
      <c r="P95" s="14" t="s">
        <v>88</v>
      </c>
    </row>
    <row r="96" spans="1:16" x14ac:dyDescent="0.35">
      <c r="A96" s="14" t="s">
        <v>226</v>
      </c>
      <c r="B96" s="15">
        <v>41721</v>
      </c>
      <c r="C96" s="14" t="s">
        <v>57</v>
      </c>
      <c r="D96" s="14" t="s">
        <v>62</v>
      </c>
      <c r="E96" s="14" t="s">
        <v>117</v>
      </c>
      <c r="F96" s="14" t="s">
        <v>142</v>
      </c>
      <c r="G96" s="14" t="s">
        <v>58</v>
      </c>
      <c r="H96" s="14">
        <v>2</v>
      </c>
      <c r="I96" s="16">
        <v>12.86</v>
      </c>
      <c r="J96" s="16">
        <v>4</v>
      </c>
      <c r="K96" s="16">
        <v>25.72</v>
      </c>
      <c r="L96" s="16">
        <v>17.72</v>
      </c>
      <c r="M96" s="14">
        <v>2014</v>
      </c>
      <c r="N96" s="14">
        <v>3</v>
      </c>
      <c r="O96" s="14" t="s">
        <v>72</v>
      </c>
      <c r="P96" s="14" t="s">
        <v>88</v>
      </c>
    </row>
    <row r="97" spans="1:16" x14ac:dyDescent="0.35">
      <c r="A97" s="14" t="s">
        <v>227</v>
      </c>
      <c r="B97" s="15">
        <v>41721</v>
      </c>
      <c r="C97" s="14" t="s">
        <v>57</v>
      </c>
      <c r="D97" s="14" t="s">
        <v>62</v>
      </c>
      <c r="E97" s="14" t="s">
        <v>100</v>
      </c>
      <c r="F97" s="14" t="s">
        <v>132</v>
      </c>
      <c r="G97" s="14" t="s">
        <v>56</v>
      </c>
      <c r="H97" s="14">
        <v>1</v>
      </c>
      <c r="I97" s="16">
        <v>40.369999999999997</v>
      </c>
      <c r="J97" s="16">
        <v>15</v>
      </c>
      <c r="K97" s="16">
        <v>40.369999999999997</v>
      </c>
      <c r="L97" s="16">
        <v>25.37</v>
      </c>
      <c r="M97" s="14">
        <v>2014</v>
      </c>
      <c r="N97" s="14">
        <v>3</v>
      </c>
      <c r="O97" s="14" t="s">
        <v>72</v>
      </c>
      <c r="P97" s="14" t="s">
        <v>88</v>
      </c>
    </row>
    <row r="98" spans="1:16" x14ac:dyDescent="0.35">
      <c r="A98" s="14" t="s">
        <v>228</v>
      </c>
      <c r="B98" s="15">
        <v>41722</v>
      </c>
      <c r="C98" s="14" t="s">
        <v>57</v>
      </c>
      <c r="D98" s="14" t="s">
        <v>66</v>
      </c>
      <c r="E98" s="14" t="s">
        <v>134</v>
      </c>
      <c r="F98" s="14" t="s">
        <v>142</v>
      </c>
      <c r="G98" s="14" t="s">
        <v>58</v>
      </c>
      <c r="H98" s="14">
        <v>3</v>
      </c>
      <c r="I98" s="16">
        <v>12.38</v>
      </c>
      <c r="J98" s="16">
        <v>4</v>
      </c>
      <c r="K98" s="16">
        <v>37.14</v>
      </c>
      <c r="L98" s="16">
        <v>25.14</v>
      </c>
      <c r="M98" s="14">
        <v>2014</v>
      </c>
      <c r="N98" s="14">
        <v>3</v>
      </c>
      <c r="O98" s="14" t="s">
        <v>72</v>
      </c>
      <c r="P98" s="14" t="s">
        <v>88</v>
      </c>
    </row>
    <row r="99" spans="1:16" x14ac:dyDescent="0.35">
      <c r="A99" s="14" t="s">
        <v>229</v>
      </c>
      <c r="B99" s="15">
        <v>41722</v>
      </c>
      <c r="C99" s="14" t="s">
        <v>57</v>
      </c>
      <c r="D99" s="14" t="s">
        <v>66</v>
      </c>
      <c r="E99" s="14" t="s">
        <v>117</v>
      </c>
      <c r="F99" s="14" t="s">
        <v>137</v>
      </c>
      <c r="G99" s="14" t="s">
        <v>54</v>
      </c>
      <c r="H99" s="14">
        <v>4</v>
      </c>
      <c r="I99" s="16">
        <v>329.62</v>
      </c>
      <c r="J99" s="16">
        <v>180</v>
      </c>
      <c r="K99" s="16">
        <v>1318.48</v>
      </c>
      <c r="L99" s="16">
        <v>598.48</v>
      </c>
      <c r="M99" s="14">
        <v>2014</v>
      </c>
      <c r="N99" s="14">
        <v>3</v>
      </c>
      <c r="O99" s="14" t="s">
        <v>72</v>
      </c>
      <c r="P99" s="14" t="s">
        <v>90</v>
      </c>
    </row>
    <row r="100" spans="1:16" x14ac:dyDescent="0.35">
      <c r="A100" s="14" t="s">
        <v>230</v>
      </c>
      <c r="B100" s="15">
        <v>41723</v>
      </c>
      <c r="C100" s="14" t="s">
        <v>59</v>
      </c>
      <c r="D100" s="14" t="s">
        <v>61</v>
      </c>
      <c r="E100" s="14" t="s">
        <v>89</v>
      </c>
      <c r="F100" s="14" t="s">
        <v>115</v>
      </c>
      <c r="G100" s="14" t="s">
        <v>56</v>
      </c>
      <c r="H100" s="14">
        <v>3</v>
      </c>
      <c r="I100" s="16">
        <v>441.47</v>
      </c>
      <c r="J100" s="16">
        <v>220</v>
      </c>
      <c r="K100" s="16">
        <v>1324.41</v>
      </c>
      <c r="L100" s="16">
        <v>664.41</v>
      </c>
      <c r="M100" s="14">
        <v>2014</v>
      </c>
      <c r="N100" s="14">
        <v>3</v>
      </c>
      <c r="O100" s="14" t="s">
        <v>72</v>
      </c>
      <c r="P100" s="14" t="s">
        <v>90</v>
      </c>
    </row>
    <row r="101" spans="1:16" x14ac:dyDescent="0.35">
      <c r="A101" s="14" t="s">
        <v>231</v>
      </c>
      <c r="B101" s="15">
        <v>41724</v>
      </c>
      <c r="C101" s="14" t="s">
        <v>57</v>
      </c>
      <c r="D101" s="14" t="s">
        <v>63</v>
      </c>
      <c r="E101" s="14" t="s">
        <v>91</v>
      </c>
      <c r="F101" s="14" t="s">
        <v>156</v>
      </c>
      <c r="G101" s="14" t="s">
        <v>54</v>
      </c>
      <c r="H101" s="14">
        <v>5</v>
      </c>
      <c r="I101" s="16">
        <v>49.54</v>
      </c>
      <c r="J101" s="16">
        <v>18</v>
      </c>
      <c r="K101" s="16">
        <v>247.7</v>
      </c>
      <c r="L101" s="16">
        <v>157.69999999999999</v>
      </c>
      <c r="M101" s="14">
        <v>2014</v>
      </c>
      <c r="N101" s="14">
        <v>3</v>
      </c>
      <c r="O101" s="14" t="s">
        <v>72</v>
      </c>
      <c r="P101" s="14" t="s">
        <v>88</v>
      </c>
    </row>
    <row r="102" spans="1:16" x14ac:dyDescent="0.35">
      <c r="A102" s="14" t="s">
        <v>232</v>
      </c>
      <c r="B102" s="15">
        <v>41724</v>
      </c>
      <c r="C102" s="14" t="s">
        <v>59</v>
      </c>
      <c r="D102" s="14" t="s">
        <v>61</v>
      </c>
      <c r="E102" s="14" t="s">
        <v>131</v>
      </c>
      <c r="F102" s="14" t="s">
        <v>156</v>
      </c>
      <c r="G102" s="14" t="s">
        <v>54</v>
      </c>
      <c r="H102" s="14">
        <v>3</v>
      </c>
      <c r="I102" s="16">
        <v>49.34</v>
      </c>
      <c r="J102" s="16">
        <v>18</v>
      </c>
      <c r="K102" s="16">
        <v>148.02000000000001</v>
      </c>
      <c r="L102" s="16">
        <v>94.02</v>
      </c>
      <c r="M102" s="14">
        <v>2014</v>
      </c>
      <c r="N102" s="14">
        <v>3</v>
      </c>
      <c r="O102" s="14" t="s">
        <v>72</v>
      </c>
      <c r="P102" s="14" t="s">
        <v>88</v>
      </c>
    </row>
    <row r="103" spans="1:16" x14ac:dyDescent="0.35">
      <c r="A103" s="14" t="s">
        <v>233</v>
      </c>
      <c r="B103" s="15">
        <v>41725</v>
      </c>
      <c r="C103" s="14" t="s">
        <v>57</v>
      </c>
      <c r="D103" s="14" t="s">
        <v>62</v>
      </c>
      <c r="E103" s="14" t="s">
        <v>114</v>
      </c>
      <c r="F103" s="14" t="s">
        <v>156</v>
      </c>
      <c r="G103" s="14" t="s">
        <v>54</v>
      </c>
      <c r="H103" s="14">
        <v>1</v>
      </c>
      <c r="I103" s="16">
        <v>47.9</v>
      </c>
      <c r="J103" s="16">
        <v>18</v>
      </c>
      <c r="K103" s="16">
        <v>47.9</v>
      </c>
      <c r="L103" s="16">
        <v>29.9</v>
      </c>
      <c r="M103" s="14">
        <v>2014</v>
      </c>
      <c r="N103" s="14">
        <v>3</v>
      </c>
      <c r="O103" s="14" t="s">
        <v>72</v>
      </c>
      <c r="P103" s="14" t="s">
        <v>88</v>
      </c>
    </row>
    <row r="104" spans="1:16" x14ac:dyDescent="0.35">
      <c r="A104" s="14" t="s">
        <v>234</v>
      </c>
      <c r="B104" s="15">
        <v>41725</v>
      </c>
      <c r="C104" s="14" t="s">
        <v>57</v>
      </c>
      <c r="D104" s="14" t="s">
        <v>66</v>
      </c>
      <c r="E104" s="14" t="s">
        <v>139</v>
      </c>
      <c r="F104" s="14" t="s">
        <v>118</v>
      </c>
      <c r="G104" s="14" t="s">
        <v>54</v>
      </c>
      <c r="H104" s="14">
        <v>3</v>
      </c>
      <c r="I104" s="16">
        <v>27.64</v>
      </c>
      <c r="J104" s="16">
        <v>12</v>
      </c>
      <c r="K104" s="16">
        <v>82.92</v>
      </c>
      <c r="L104" s="16">
        <v>46.92</v>
      </c>
      <c r="M104" s="14">
        <v>2014</v>
      </c>
      <c r="N104" s="14">
        <v>3</v>
      </c>
      <c r="O104" s="14" t="s">
        <v>72</v>
      </c>
      <c r="P104" s="14" t="s">
        <v>88</v>
      </c>
    </row>
    <row r="105" spans="1:16" x14ac:dyDescent="0.35">
      <c r="A105" s="14" t="s">
        <v>235</v>
      </c>
      <c r="B105" s="15">
        <v>41725</v>
      </c>
      <c r="C105" s="14" t="s">
        <v>59</v>
      </c>
      <c r="D105" s="14" t="s">
        <v>68</v>
      </c>
      <c r="E105" s="14" t="s">
        <v>87</v>
      </c>
      <c r="F105" s="14" t="s">
        <v>137</v>
      </c>
      <c r="G105" s="14" t="s">
        <v>54</v>
      </c>
      <c r="H105" s="14">
        <v>2</v>
      </c>
      <c r="I105" s="16">
        <v>315.89</v>
      </c>
      <c r="J105" s="16">
        <v>180</v>
      </c>
      <c r="K105" s="16">
        <v>631.78</v>
      </c>
      <c r="L105" s="16">
        <v>271.77999999999997</v>
      </c>
      <c r="M105" s="14">
        <v>2014</v>
      </c>
      <c r="N105" s="14">
        <v>3</v>
      </c>
      <c r="O105" s="14" t="s">
        <v>72</v>
      </c>
      <c r="P105" s="14" t="s">
        <v>88</v>
      </c>
    </row>
    <row r="106" spans="1:16" x14ac:dyDescent="0.35">
      <c r="A106" s="14" t="s">
        <v>236</v>
      </c>
      <c r="B106" s="15">
        <v>41728</v>
      </c>
      <c r="C106" s="14" t="s">
        <v>53</v>
      </c>
      <c r="D106" s="14" t="s">
        <v>64</v>
      </c>
      <c r="E106" s="14" t="s">
        <v>98</v>
      </c>
      <c r="F106" s="14" t="s">
        <v>123</v>
      </c>
      <c r="G106" s="14" t="s">
        <v>54</v>
      </c>
      <c r="H106" s="14">
        <v>3</v>
      </c>
      <c r="I106" s="16">
        <v>68.319999999999993</v>
      </c>
      <c r="J106" s="16">
        <v>28</v>
      </c>
      <c r="K106" s="16">
        <v>204.96</v>
      </c>
      <c r="L106" s="16">
        <v>120.96</v>
      </c>
      <c r="M106" s="14">
        <v>2014</v>
      </c>
      <c r="N106" s="14">
        <v>3</v>
      </c>
      <c r="O106" s="14" t="s">
        <v>72</v>
      </c>
      <c r="P106" s="14" t="s">
        <v>88</v>
      </c>
    </row>
    <row r="107" spans="1:16" x14ac:dyDescent="0.35">
      <c r="A107" s="14" t="s">
        <v>237</v>
      </c>
      <c r="B107" s="15">
        <v>41729</v>
      </c>
      <c r="C107" s="14" t="s">
        <v>53</v>
      </c>
      <c r="D107" s="14" t="s">
        <v>64</v>
      </c>
      <c r="E107" s="14" t="s">
        <v>131</v>
      </c>
      <c r="F107" s="14" t="s">
        <v>140</v>
      </c>
      <c r="G107" s="14" t="s">
        <v>56</v>
      </c>
      <c r="H107" s="14">
        <v>1</v>
      </c>
      <c r="I107" s="16">
        <v>183.52</v>
      </c>
      <c r="J107" s="16">
        <v>95</v>
      </c>
      <c r="K107" s="16">
        <v>183.52</v>
      </c>
      <c r="L107" s="16">
        <v>88.52</v>
      </c>
      <c r="M107" s="14">
        <v>2014</v>
      </c>
      <c r="N107" s="14">
        <v>3</v>
      </c>
      <c r="O107" s="14" t="s">
        <v>72</v>
      </c>
      <c r="P107" s="14" t="s">
        <v>88</v>
      </c>
    </row>
    <row r="108" spans="1:16" x14ac:dyDescent="0.35">
      <c r="A108" s="14" t="s">
        <v>238</v>
      </c>
      <c r="B108" s="15">
        <v>41729</v>
      </c>
      <c r="C108" s="14" t="s">
        <v>57</v>
      </c>
      <c r="D108" s="14" t="s">
        <v>65</v>
      </c>
      <c r="E108" s="14" t="s">
        <v>100</v>
      </c>
      <c r="F108" s="14" t="s">
        <v>125</v>
      </c>
      <c r="G108" s="14" t="s">
        <v>56</v>
      </c>
      <c r="H108" s="14">
        <v>4</v>
      </c>
      <c r="I108" s="16">
        <v>164.25</v>
      </c>
      <c r="J108" s="16">
        <v>70</v>
      </c>
      <c r="K108" s="16">
        <v>657</v>
      </c>
      <c r="L108" s="16">
        <v>377</v>
      </c>
      <c r="M108" s="14">
        <v>2014</v>
      </c>
      <c r="N108" s="14">
        <v>3</v>
      </c>
      <c r="O108" s="14" t="s">
        <v>72</v>
      </c>
      <c r="P108" s="14" t="s">
        <v>88</v>
      </c>
    </row>
    <row r="109" spans="1:16" x14ac:dyDescent="0.35">
      <c r="A109" s="14" t="s">
        <v>239</v>
      </c>
      <c r="B109" s="15">
        <v>41729</v>
      </c>
      <c r="C109" s="14" t="s">
        <v>59</v>
      </c>
      <c r="D109" s="14" t="s">
        <v>68</v>
      </c>
      <c r="E109" s="14" t="s">
        <v>89</v>
      </c>
      <c r="F109" s="14" t="s">
        <v>137</v>
      </c>
      <c r="G109" s="14" t="s">
        <v>54</v>
      </c>
      <c r="H109" s="14">
        <v>4</v>
      </c>
      <c r="I109" s="16">
        <v>334.64</v>
      </c>
      <c r="J109" s="16">
        <v>180</v>
      </c>
      <c r="K109" s="16">
        <v>1338.56</v>
      </c>
      <c r="L109" s="16">
        <v>618.55999999999995</v>
      </c>
      <c r="M109" s="14">
        <v>2014</v>
      </c>
      <c r="N109" s="14">
        <v>3</v>
      </c>
      <c r="O109" s="14" t="s">
        <v>72</v>
      </c>
      <c r="P109" s="14" t="s">
        <v>90</v>
      </c>
    </row>
    <row r="110" spans="1:16" x14ac:dyDescent="0.35">
      <c r="A110" s="14" t="s">
        <v>240</v>
      </c>
      <c r="B110" s="15">
        <v>41729</v>
      </c>
      <c r="C110" s="14" t="s">
        <v>55</v>
      </c>
      <c r="D110" s="14" t="s">
        <v>62</v>
      </c>
      <c r="E110" s="14" t="s">
        <v>139</v>
      </c>
      <c r="F110" s="14" t="s">
        <v>140</v>
      </c>
      <c r="G110" s="14" t="s">
        <v>56</v>
      </c>
      <c r="H110" s="14">
        <v>1</v>
      </c>
      <c r="I110" s="16">
        <v>197.56</v>
      </c>
      <c r="J110" s="16">
        <v>95</v>
      </c>
      <c r="K110" s="16">
        <v>197.56</v>
      </c>
      <c r="L110" s="16">
        <v>102.56</v>
      </c>
      <c r="M110" s="14">
        <v>2014</v>
      </c>
      <c r="N110" s="14">
        <v>3</v>
      </c>
      <c r="O110" s="14" t="s">
        <v>72</v>
      </c>
      <c r="P110" s="14" t="s">
        <v>88</v>
      </c>
    </row>
    <row r="111" spans="1:16" x14ac:dyDescent="0.35">
      <c r="A111" s="14" t="s">
        <v>241</v>
      </c>
      <c r="B111" s="15">
        <v>41729</v>
      </c>
      <c r="C111" s="14" t="s">
        <v>59</v>
      </c>
      <c r="D111" s="14" t="s">
        <v>68</v>
      </c>
      <c r="E111" s="14" t="s">
        <v>139</v>
      </c>
      <c r="F111" s="14" t="s">
        <v>142</v>
      </c>
      <c r="G111" s="14" t="s">
        <v>58</v>
      </c>
      <c r="H111" s="14">
        <v>1</v>
      </c>
      <c r="I111" s="16">
        <v>12.79</v>
      </c>
      <c r="J111" s="16">
        <v>4</v>
      </c>
      <c r="K111" s="16">
        <v>12.79</v>
      </c>
      <c r="L111" s="16">
        <v>8.7899999999999991</v>
      </c>
      <c r="M111" s="14">
        <v>2014</v>
      </c>
      <c r="N111" s="14">
        <v>3</v>
      </c>
      <c r="O111" s="14" t="s">
        <v>72</v>
      </c>
      <c r="P111" s="14" t="s">
        <v>88</v>
      </c>
    </row>
    <row r="112" spans="1:16" x14ac:dyDescent="0.35">
      <c r="A112" s="14" t="s">
        <v>242</v>
      </c>
      <c r="B112" s="15">
        <v>41730</v>
      </c>
      <c r="C112" s="14" t="s">
        <v>57</v>
      </c>
      <c r="D112" s="14" t="s">
        <v>66</v>
      </c>
      <c r="E112" s="14" t="s">
        <v>89</v>
      </c>
      <c r="F112" s="14" t="s">
        <v>128</v>
      </c>
      <c r="G112" s="14" t="s">
        <v>54</v>
      </c>
      <c r="H112" s="14">
        <v>1</v>
      </c>
      <c r="I112" s="16">
        <v>77.63</v>
      </c>
      <c r="J112" s="16">
        <v>40</v>
      </c>
      <c r="K112" s="16">
        <v>77.63</v>
      </c>
      <c r="L112" s="16">
        <v>37.630000000000003</v>
      </c>
      <c r="M112" s="14">
        <v>2014</v>
      </c>
      <c r="N112" s="14">
        <v>4</v>
      </c>
      <c r="O112" s="14" t="s">
        <v>73</v>
      </c>
      <c r="P112" s="14" t="s">
        <v>88</v>
      </c>
    </row>
    <row r="113" spans="1:16" x14ac:dyDescent="0.35">
      <c r="A113" s="14" t="s">
        <v>243</v>
      </c>
      <c r="B113" s="15">
        <v>41730</v>
      </c>
      <c r="C113" s="14" t="s">
        <v>59</v>
      </c>
      <c r="D113" s="14" t="s">
        <v>61</v>
      </c>
      <c r="E113" s="14" t="s">
        <v>150</v>
      </c>
      <c r="F113" s="14" t="s">
        <v>118</v>
      </c>
      <c r="G113" s="14" t="s">
        <v>54</v>
      </c>
      <c r="H113" s="14">
        <v>1</v>
      </c>
      <c r="I113" s="16">
        <v>24.9</v>
      </c>
      <c r="J113" s="16">
        <v>12</v>
      </c>
      <c r="K113" s="16">
        <v>24.9</v>
      </c>
      <c r="L113" s="16">
        <v>12.9</v>
      </c>
      <c r="M113" s="14">
        <v>2014</v>
      </c>
      <c r="N113" s="14">
        <v>4</v>
      </c>
      <c r="O113" s="14" t="s">
        <v>73</v>
      </c>
      <c r="P113" s="14" t="s">
        <v>88</v>
      </c>
    </row>
    <row r="114" spans="1:16" x14ac:dyDescent="0.35">
      <c r="A114" s="14" t="s">
        <v>244</v>
      </c>
      <c r="B114" s="15">
        <v>41732</v>
      </c>
      <c r="C114" s="14" t="s">
        <v>59</v>
      </c>
      <c r="D114" s="14" t="s">
        <v>61</v>
      </c>
      <c r="E114" s="14" t="s">
        <v>87</v>
      </c>
      <c r="F114" s="14" t="s">
        <v>118</v>
      </c>
      <c r="G114" s="14" t="s">
        <v>54</v>
      </c>
      <c r="H114" s="14">
        <v>1</v>
      </c>
      <c r="I114" s="16">
        <v>24.98</v>
      </c>
      <c r="J114" s="16">
        <v>12</v>
      </c>
      <c r="K114" s="16">
        <v>24.98</v>
      </c>
      <c r="L114" s="16">
        <v>12.98</v>
      </c>
      <c r="M114" s="14">
        <v>2014</v>
      </c>
      <c r="N114" s="14">
        <v>4</v>
      </c>
      <c r="O114" s="14" t="s">
        <v>73</v>
      </c>
      <c r="P114" s="14" t="s">
        <v>88</v>
      </c>
    </row>
    <row r="115" spans="1:16" x14ac:dyDescent="0.35">
      <c r="A115" s="14" t="s">
        <v>245</v>
      </c>
      <c r="B115" s="15">
        <v>41732</v>
      </c>
      <c r="C115" s="14" t="s">
        <v>53</v>
      </c>
      <c r="D115" s="14" t="s">
        <v>64</v>
      </c>
      <c r="E115" s="14" t="s">
        <v>164</v>
      </c>
      <c r="F115" s="14" t="s">
        <v>137</v>
      </c>
      <c r="G115" s="14" t="s">
        <v>54</v>
      </c>
      <c r="H115" s="14">
        <v>3</v>
      </c>
      <c r="I115" s="16">
        <v>274.24</v>
      </c>
      <c r="J115" s="16">
        <v>180</v>
      </c>
      <c r="K115" s="16">
        <v>822.72</v>
      </c>
      <c r="L115" s="16">
        <v>282.72000000000003</v>
      </c>
      <c r="M115" s="14">
        <v>2014</v>
      </c>
      <c r="N115" s="14">
        <v>4</v>
      </c>
      <c r="O115" s="14" t="s">
        <v>73</v>
      </c>
      <c r="P115" s="14" t="s">
        <v>88</v>
      </c>
    </row>
    <row r="116" spans="1:16" x14ac:dyDescent="0.35">
      <c r="A116" s="14" t="s">
        <v>246</v>
      </c>
      <c r="B116" s="15">
        <v>41734</v>
      </c>
      <c r="C116" s="14" t="s">
        <v>53</v>
      </c>
      <c r="D116" s="14" t="s">
        <v>67</v>
      </c>
      <c r="E116" s="14" t="s">
        <v>131</v>
      </c>
      <c r="F116" s="14" t="s">
        <v>118</v>
      </c>
      <c r="G116" s="14" t="s">
        <v>54</v>
      </c>
      <c r="H116" s="14">
        <v>4</v>
      </c>
      <c r="I116" s="16">
        <v>25.06</v>
      </c>
      <c r="J116" s="16">
        <v>12</v>
      </c>
      <c r="K116" s="16">
        <v>100.24</v>
      </c>
      <c r="L116" s="16">
        <v>52.24</v>
      </c>
      <c r="M116" s="14">
        <v>2014</v>
      </c>
      <c r="N116" s="14">
        <v>4</v>
      </c>
      <c r="O116" s="14" t="s">
        <v>73</v>
      </c>
      <c r="P116" s="14" t="s">
        <v>88</v>
      </c>
    </row>
    <row r="117" spans="1:16" x14ac:dyDescent="0.35">
      <c r="A117" s="14" t="s">
        <v>247</v>
      </c>
      <c r="B117" s="15">
        <v>41735</v>
      </c>
      <c r="C117" s="14" t="s">
        <v>57</v>
      </c>
      <c r="D117" s="14" t="s">
        <v>62</v>
      </c>
      <c r="E117" s="14" t="s">
        <v>146</v>
      </c>
      <c r="F117" s="14" t="s">
        <v>118</v>
      </c>
      <c r="G117" s="14" t="s">
        <v>54</v>
      </c>
      <c r="H117" s="14">
        <v>5</v>
      </c>
      <c r="I117" s="16">
        <v>24.76</v>
      </c>
      <c r="J117" s="16">
        <v>12</v>
      </c>
      <c r="K117" s="16">
        <v>123.8</v>
      </c>
      <c r="L117" s="16">
        <v>63.8</v>
      </c>
      <c r="M117" s="14">
        <v>2014</v>
      </c>
      <c r="N117" s="14">
        <v>4</v>
      </c>
      <c r="O117" s="14" t="s">
        <v>73</v>
      </c>
      <c r="P117" s="14" t="s">
        <v>88</v>
      </c>
    </row>
    <row r="118" spans="1:16" x14ac:dyDescent="0.35">
      <c r="A118" s="14" t="s">
        <v>248</v>
      </c>
      <c r="B118" s="15">
        <v>41735</v>
      </c>
      <c r="C118" s="14" t="s">
        <v>55</v>
      </c>
      <c r="D118" s="14" t="s">
        <v>63</v>
      </c>
      <c r="E118" s="14" t="s">
        <v>146</v>
      </c>
      <c r="F118" s="14" t="s">
        <v>125</v>
      </c>
      <c r="G118" s="14" t="s">
        <v>56</v>
      </c>
      <c r="H118" s="14">
        <v>1</v>
      </c>
      <c r="I118" s="16">
        <v>129.51</v>
      </c>
      <c r="J118" s="16">
        <v>70</v>
      </c>
      <c r="K118" s="16">
        <v>129.51</v>
      </c>
      <c r="L118" s="16">
        <v>59.51</v>
      </c>
      <c r="M118" s="14">
        <v>2014</v>
      </c>
      <c r="N118" s="14">
        <v>4</v>
      </c>
      <c r="O118" s="14" t="s">
        <v>73</v>
      </c>
      <c r="P118" s="14" t="s">
        <v>88</v>
      </c>
    </row>
    <row r="119" spans="1:16" x14ac:dyDescent="0.35">
      <c r="A119" s="14" t="s">
        <v>249</v>
      </c>
      <c r="B119" s="15">
        <v>41738</v>
      </c>
      <c r="C119" s="14" t="s">
        <v>59</v>
      </c>
      <c r="D119" s="14" t="s">
        <v>61</v>
      </c>
      <c r="E119" s="14" t="s">
        <v>91</v>
      </c>
      <c r="F119" s="14" t="s">
        <v>132</v>
      </c>
      <c r="G119" s="14" t="s">
        <v>56</v>
      </c>
      <c r="H119" s="14">
        <v>3</v>
      </c>
      <c r="I119" s="16">
        <v>33.200000000000003</v>
      </c>
      <c r="J119" s="16">
        <v>15</v>
      </c>
      <c r="K119" s="16">
        <v>99.6</v>
      </c>
      <c r="L119" s="16">
        <v>54.6</v>
      </c>
      <c r="M119" s="14">
        <v>2014</v>
      </c>
      <c r="N119" s="14">
        <v>4</v>
      </c>
      <c r="O119" s="14" t="s">
        <v>73</v>
      </c>
      <c r="P119" s="14" t="s">
        <v>88</v>
      </c>
    </row>
    <row r="120" spans="1:16" x14ac:dyDescent="0.35">
      <c r="A120" s="14" t="s">
        <v>250</v>
      </c>
      <c r="B120" s="15">
        <v>41741</v>
      </c>
      <c r="C120" s="14" t="s">
        <v>59</v>
      </c>
      <c r="D120" s="14" t="s">
        <v>61</v>
      </c>
      <c r="E120" s="14" t="s">
        <v>150</v>
      </c>
      <c r="F120" s="14" t="s">
        <v>125</v>
      </c>
      <c r="G120" s="14" t="s">
        <v>56</v>
      </c>
      <c r="H120" s="14">
        <v>5</v>
      </c>
      <c r="I120" s="16">
        <v>140.86000000000001</v>
      </c>
      <c r="J120" s="16">
        <v>70</v>
      </c>
      <c r="K120" s="16">
        <v>704.3</v>
      </c>
      <c r="L120" s="16">
        <v>354.3</v>
      </c>
      <c r="M120" s="14">
        <v>2014</v>
      </c>
      <c r="N120" s="14">
        <v>4</v>
      </c>
      <c r="O120" s="14" t="s">
        <v>73</v>
      </c>
      <c r="P120" s="14" t="s">
        <v>88</v>
      </c>
    </row>
    <row r="121" spans="1:16" x14ac:dyDescent="0.35">
      <c r="A121" s="14" t="s">
        <v>251</v>
      </c>
      <c r="B121" s="15">
        <v>41741</v>
      </c>
      <c r="C121" s="14" t="s">
        <v>59</v>
      </c>
      <c r="D121" s="14" t="s">
        <v>61</v>
      </c>
      <c r="E121" s="14" t="s">
        <v>114</v>
      </c>
      <c r="F121" s="14" t="s">
        <v>118</v>
      </c>
      <c r="G121" s="14" t="s">
        <v>54</v>
      </c>
      <c r="H121" s="14">
        <v>1</v>
      </c>
      <c r="I121" s="16">
        <v>25.32</v>
      </c>
      <c r="J121" s="16">
        <v>12</v>
      </c>
      <c r="K121" s="16">
        <v>25.32</v>
      </c>
      <c r="L121" s="16">
        <v>13.32</v>
      </c>
      <c r="M121" s="14">
        <v>2014</v>
      </c>
      <c r="N121" s="14">
        <v>4</v>
      </c>
      <c r="O121" s="14" t="s">
        <v>73</v>
      </c>
      <c r="P121" s="14" t="s">
        <v>88</v>
      </c>
    </row>
    <row r="122" spans="1:16" x14ac:dyDescent="0.35">
      <c r="A122" s="14" t="s">
        <v>252</v>
      </c>
      <c r="B122" s="15">
        <v>41742</v>
      </c>
      <c r="C122" s="14" t="s">
        <v>53</v>
      </c>
      <c r="D122" s="14" t="s">
        <v>67</v>
      </c>
      <c r="E122" s="14" t="s">
        <v>117</v>
      </c>
      <c r="F122" s="14" t="s">
        <v>115</v>
      </c>
      <c r="G122" s="14" t="s">
        <v>56</v>
      </c>
      <c r="H122" s="14">
        <v>2</v>
      </c>
      <c r="I122" s="16">
        <v>366.93</v>
      </c>
      <c r="J122" s="16">
        <v>220</v>
      </c>
      <c r="K122" s="16">
        <v>733.86</v>
      </c>
      <c r="L122" s="16">
        <v>293.86</v>
      </c>
      <c r="M122" s="14">
        <v>2014</v>
      </c>
      <c r="N122" s="14">
        <v>4</v>
      </c>
      <c r="O122" s="14" t="s">
        <v>73</v>
      </c>
      <c r="P122" s="14" t="s">
        <v>88</v>
      </c>
    </row>
    <row r="123" spans="1:16" x14ac:dyDescent="0.35">
      <c r="A123" s="14" t="s">
        <v>253</v>
      </c>
      <c r="B123" s="15">
        <v>41742</v>
      </c>
      <c r="C123" s="14" t="s">
        <v>53</v>
      </c>
      <c r="D123" s="14" t="s">
        <v>67</v>
      </c>
      <c r="E123" s="14" t="s">
        <v>134</v>
      </c>
      <c r="F123" s="14" t="s">
        <v>140</v>
      </c>
      <c r="G123" s="14" t="s">
        <v>56</v>
      </c>
      <c r="H123" s="14">
        <v>4</v>
      </c>
      <c r="I123" s="16">
        <v>163.94</v>
      </c>
      <c r="J123" s="16">
        <v>95</v>
      </c>
      <c r="K123" s="16">
        <v>655.76</v>
      </c>
      <c r="L123" s="16">
        <v>275.76</v>
      </c>
      <c r="M123" s="14">
        <v>2014</v>
      </c>
      <c r="N123" s="14">
        <v>4</v>
      </c>
      <c r="O123" s="14" t="s">
        <v>73</v>
      </c>
      <c r="P123" s="14" t="s">
        <v>88</v>
      </c>
    </row>
    <row r="124" spans="1:16" x14ac:dyDescent="0.35">
      <c r="A124" s="14" t="s">
        <v>254</v>
      </c>
      <c r="B124" s="15">
        <v>41743</v>
      </c>
      <c r="C124" s="14" t="s">
        <v>59</v>
      </c>
      <c r="D124" s="14" t="s">
        <v>61</v>
      </c>
      <c r="E124" s="14" t="s">
        <v>150</v>
      </c>
      <c r="F124" s="14" t="s">
        <v>137</v>
      </c>
      <c r="G124" s="14" t="s">
        <v>54</v>
      </c>
      <c r="H124" s="14">
        <v>1</v>
      </c>
      <c r="I124" s="16">
        <v>269.8</v>
      </c>
      <c r="J124" s="16">
        <v>180</v>
      </c>
      <c r="K124" s="16">
        <v>269.8</v>
      </c>
      <c r="L124" s="16">
        <v>89.8</v>
      </c>
      <c r="M124" s="14">
        <v>2014</v>
      </c>
      <c r="N124" s="14">
        <v>4</v>
      </c>
      <c r="O124" s="14" t="s">
        <v>73</v>
      </c>
      <c r="P124" s="14" t="s">
        <v>88</v>
      </c>
    </row>
    <row r="125" spans="1:16" x14ac:dyDescent="0.35">
      <c r="A125" s="14" t="s">
        <v>255</v>
      </c>
      <c r="B125" s="15">
        <v>41744</v>
      </c>
      <c r="C125" s="14" t="s">
        <v>57</v>
      </c>
      <c r="D125" s="14" t="s">
        <v>66</v>
      </c>
      <c r="E125" s="14" t="s">
        <v>146</v>
      </c>
      <c r="F125" s="14" t="s">
        <v>137</v>
      </c>
      <c r="G125" s="14" t="s">
        <v>54</v>
      </c>
      <c r="H125" s="14">
        <v>3</v>
      </c>
      <c r="I125" s="16">
        <v>289.74</v>
      </c>
      <c r="J125" s="16">
        <v>180</v>
      </c>
      <c r="K125" s="16">
        <v>869.22</v>
      </c>
      <c r="L125" s="16">
        <v>329.22</v>
      </c>
      <c r="M125" s="14">
        <v>2014</v>
      </c>
      <c r="N125" s="14">
        <v>4</v>
      </c>
      <c r="O125" s="14" t="s">
        <v>73</v>
      </c>
      <c r="P125" s="14" t="s">
        <v>88</v>
      </c>
    </row>
    <row r="126" spans="1:16" x14ac:dyDescent="0.35">
      <c r="A126" s="14" t="s">
        <v>256</v>
      </c>
      <c r="B126" s="15">
        <v>41744</v>
      </c>
      <c r="C126" s="14" t="s">
        <v>59</v>
      </c>
      <c r="D126" s="14" t="s">
        <v>61</v>
      </c>
      <c r="E126" s="14" t="s">
        <v>87</v>
      </c>
      <c r="F126" s="14" t="s">
        <v>123</v>
      </c>
      <c r="G126" s="14" t="s">
        <v>54</v>
      </c>
      <c r="H126" s="14">
        <v>2</v>
      </c>
      <c r="I126" s="16">
        <v>60.61</v>
      </c>
      <c r="J126" s="16">
        <v>28</v>
      </c>
      <c r="K126" s="16">
        <v>121.22</v>
      </c>
      <c r="L126" s="16">
        <v>65.22</v>
      </c>
      <c r="M126" s="14">
        <v>2014</v>
      </c>
      <c r="N126" s="14">
        <v>4</v>
      </c>
      <c r="O126" s="14" t="s">
        <v>73</v>
      </c>
      <c r="P126" s="14" t="s">
        <v>88</v>
      </c>
    </row>
    <row r="127" spans="1:16" x14ac:dyDescent="0.35">
      <c r="A127" s="14" t="s">
        <v>257</v>
      </c>
      <c r="B127" s="15">
        <v>41745</v>
      </c>
      <c r="C127" s="14" t="s">
        <v>59</v>
      </c>
      <c r="D127" s="14" t="s">
        <v>68</v>
      </c>
      <c r="E127" s="14" t="s">
        <v>114</v>
      </c>
      <c r="F127" s="14" t="s">
        <v>123</v>
      </c>
      <c r="G127" s="14" t="s">
        <v>54</v>
      </c>
      <c r="H127" s="14">
        <v>4</v>
      </c>
      <c r="I127" s="16">
        <v>55.83</v>
      </c>
      <c r="J127" s="16">
        <v>28</v>
      </c>
      <c r="K127" s="16">
        <v>223.32</v>
      </c>
      <c r="L127" s="16">
        <v>111.32</v>
      </c>
      <c r="M127" s="14">
        <v>2014</v>
      </c>
      <c r="N127" s="14">
        <v>4</v>
      </c>
      <c r="O127" s="14" t="s">
        <v>73</v>
      </c>
      <c r="P127" s="14" t="s">
        <v>88</v>
      </c>
    </row>
    <row r="128" spans="1:16" x14ac:dyDescent="0.35">
      <c r="A128" s="14" t="s">
        <v>258</v>
      </c>
      <c r="B128" s="15">
        <v>41747</v>
      </c>
      <c r="C128" s="14" t="s">
        <v>55</v>
      </c>
      <c r="D128" s="14" t="s">
        <v>65</v>
      </c>
      <c r="E128" s="14" t="s">
        <v>146</v>
      </c>
      <c r="F128" s="14" t="s">
        <v>142</v>
      </c>
      <c r="G128" s="14" t="s">
        <v>58</v>
      </c>
      <c r="H128" s="14">
        <v>3</v>
      </c>
      <c r="I128" s="16">
        <v>10.86</v>
      </c>
      <c r="J128" s="16">
        <v>4</v>
      </c>
      <c r="K128" s="16">
        <v>32.58</v>
      </c>
      <c r="L128" s="16">
        <v>20.58</v>
      </c>
      <c r="M128" s="14">
        <v>2014</v>
      </c>
      <c r="N128" s="14">
        <v>4</v>
      </c>
      <c r="O128" s="14" t="s">
        <v>73</v>
      </c>
      <c r="P128" s="14" t="s">
        <v>88</v>
      </c>
    </row>
    <row r="129" spans="1:16" x14ac:dyDescent="0.35">
      <c r="A129" s="14" t="s">
        <v>259</v>
      </c>
      <c r="B129" s="15">
        <v>41749</v>
      </c>
      <c r="C129" s="14" t="s">
        <v>59</v>
      </c>
      <c r="D129" s="14" t="s">
        <v>61</v>
      </c>
      <c r="E129" s="14" t="s">
        <v>134</v>
      </c>
      <c r="F129" s="14" t="s">
        <v>115</v>
      </c>
      <c r="G129" s="14" t="s">
        <v>56</v>
      </c>
      <c r="H129" s="14">
        <v>1</v>
      </c>
      <c r="I129" s="16">
        <v>386.2</v>
      </c>
      <c r="J129" s="16">
        <v>220</v>
      </c>
      <c r="K129" s="16">
        <v>386.2</v>
      </c>
      <c r="L129" s="16">
        <v>166.2</v>
      </c>
      <c r="M129" s="14">
        <v>2014</v>
      </c>
      <c r="N129" s="14">
        <v>4</v>
      </c>
      <c r="O129" s="14" t="s">
        <v>73</v>
      </c>
      <c r="P129" s="14" t="s">
        <v>88</v>
      </c>
    </row>
    <row r="130" spans="1:16" x14ac:dyDescent="0.35">
      <c r="A130" s="14" t="s">
        <v>260</v>
      </c>
      <c r="B130" s="15">
        <v>41751</v>
      </c>
      <c r="C130" s="14" t="s">
        <v>55</v>
      </c>
      <c r="D130" s="14" t="s">
        <v>63</v>
      </c>
      <c r="E130" s="14" t="s">
        <v>131</v>
      </c>
      <c r="F130" s="14" t="s">
        <v>140</v>
      </c>
      <c r="G130" s="14" t="s">
        <v>56</v>
      </c>
      <c r="H130" s="14">
        <v>1</v>
      </c>
      <c r="I130" s="16">
        <v>158.18</v>
      </c>
      <c r="J130" s="16">
        <v>95</v>
      </c>
      <c r="K130" s="16">
        <v>158.18</v>
      </c>
      <c r="L130" s="16">
        <v>63.18</v>
      </c>
      <c r="M130" s="14">
        <v>2014</v>
      </c>
      <c r="N130" s="14">
        <v>4</v>
      </c>
      <c r="O130" s="14" t="s">
        <v>73</v>
      </c>
      <c r="P130" s="14" t="s">
        <v>88</v>
      </c>
    </row>
    <row r="131" spans="1:16" x14ac:dyDescent="0.35">
      <c r="A131" s="14" t="s">
        <v>261</v>
      </c>
      <c r="B131" s="15">
        <v>41753</v>
      </c>
      <c r="C131" s="14" t="s">
        <v>59</v>
      </c>
      <c r="D131" s="14" t="s">
        <v>61</v>
      </c>
      <c r="E131" s="14" t="s">
        <v>87</v>
      </c>
      <c r="F131" s="14" t="s">
        <v>137</v>
      </c>
      <c r="G131" s="14" t="s">
        <v>54</v>
      </c>
      <c r="H131" s="14">
        <v>3</v>
      </c>
      <c r="I131" s="16">
        <v>291.89</v>
      </c>
      <c r="J131" s="16">
        <v>180</v>
      </c>
      <c r="K131" s="16">
        <v>875.67</v>
      </c>
      <c r="L131" s="16">
        <v>335.67</v>
      </c>
      <c r="M131" s="14">
        <v>2014</v>
      </c>
      <c r="N131" s="14">
        <v>4</v>
      </c>
      <c r="O131" s="14" t="s">
        <v>73</v>
      </c>
      <c r="P131" s="14" t="s">
        <v>88</v>
      </c>
    </row>
    <row r="132" spans="1:16" x14ac:dyDescent="0.35">
      <c r="A132" s="14" t="s">
        <v>262</v>
      </c>
      <c r="B132" s="15">
        <v>41753</v>
      </c>
      <c r="C132" s="14" t="s">
        <v>55</v>
      </c>
      <c r="D132" s="14" t="s">
        <v>65</v>
      </c>
      <c r="E132" s="14" t="s">
        <v>144</v>
      </c>
      <c r="F132" s="14" t="s">
        <v>132</v>
      </c>
      <c r="G132" s="14" t="s">
        <v>56</v>
      </c>
      <c r="H132" s="14">
        <v>2</v>
      </c>
      <c r="I132" s="16">
        <v>34.36</v>
      </c>
      <c r="J132" s="16">
        <v>15</v>
      </c>
      <c r="K132" s="16">
        <v>68.72</v>
      </c>
      <c r="L132" s="16">
        <v>38.72</v>
      </c>
      <c r="M132" s="14">
        <v>2014</v>
      </c>
      <c r="N132" s="14">
        <v>4</v>
      </c>
      <c r="O132" s="14" t="s">
        <v>73</v>
      </c>
      <c r="P132" s="14" t="s">
        <v>88</v>
      </c>
    </row>
    <row r="133" spans="1:16" x14ac:dyDescent="0.35">
      <c r="A133" s="14" t="s">
        <v>263</v>
      </c>
      <c r="B133" s="15">
        <v>41753</v>
      </c>
      <c r="C133" s="14" t="s">
        <v>53</v>
      </c>
      <c r="D133" s="14" t="s">
        <v>67</v>
      </c>
      <c r="E133" s="14" t="s">
        <v>131</v>
      </c>
      <c r="F133" s="14" t="s">
        <v>142</v>
      </c>
      <c r="G133" s="14" t="s">
        <v>58</v>
      </c>
      <c r="H133" s="14">
        <v>2</v>
      </c>
      <c r="I133" s="16">
        <v>10.49</v>
      </c>
      <c r="J133" s="16">
        <v>4</v>
      </c>
      <c r="K133" s="16">
        <v>20.98</v>
      </c>
      <c r="L133" s="16">
        <v>12.98</v>
      </c>
      <c r="M133" s="14">
        <v>2014</v>
      </c>
      <c r="N133" s="14">
        <v>4</v>
      </c>
      <c r="O133" s="14" t="s">
        <v>73</v>
      </c>
      <c r="P133" s="14" t="s">
        <v>88</v>
      </c>
    </row>
    <row r="134" spans="1:16" x14ac:dyDescent="0.35">
      <c r="A134" s="14" t="s">
        <v>264</v>
      </c>
      <c r="B134" s="15">
        <v>41754</v>
      </c>
      <c r="C134" s="14" t="s">
        <v>59</v>
      </c>
      <c r="D134" s="14" t="s">
        <v>68</v>
      </c>
      <c r="E134" s="14" t="s">
        <v>117</v>
      </c>
      <c r="F134" s="14" t="s">
        <v>118</v>
      </c>
      <c r="G134" s="14" t="s">
        <v>54</v>
      </c>
      <c r="H134" s="14">
        <v>2</v>
      </c>
      <c r="I134" s="16">
        <v>25.39</v>
      </c>
      <c r="J134" s="16">
        <v>12</v>
      </c>
      <c r="K134" s="16">
        <v>50.78</v>
      </c>
      <c r="L134" s="16">
        <v>26.78</v>
      </c>
      <c r="M134" s="14">
        <v>2014</v>
      </c>
      <c r="N134" s="14">
        <v>4</v>
      </c>
      <c r="O134" s="14" t="s">
        <v>73</v>
      </c>
      <c r="P134" s="14" t="s">
        <v>88</v>
      </c>
    </row>
    <row r="135" spans="1:16" x14ac:dyDescent="0.35">
      <c r="A135" s="14" t="s">
        <v>265</v>
      </c>
      <c r="B135" s="15">
        <v>41754</v>
      </c>
      <c r="C135" s="14" t="s">
        <v>59</v>
      </c>
      <c r="D135" s="14" t="s">
        <v>68</v>
      </c>
      <c r="E135" s="14" t="s">
        <v>114</v>
      </c>
      <c r="F135" s="14" t="s">
        <v>142</v>
      </c>
      <c r="G135" s="14" t="s">
        <v>58</v>
      </c>
      <c r="H135" s="14">
        <v>3</v>
      </c>
      <c r="I135" s="16">
        <v>10.14</v>
      </c>
      <c r="J135" s="16">
        <v>4</v>
      </c>
      <c r="K135" s="16">
        <v>30.42</v>
      </c>
      <c r="L135" s="16">
        <v>18.420000000000002</v>
      </c>
      <c r="M135" s="14">
        <v>2014</v>
      </c>
      <c r="N135" s="14">
        <v>4</v>
      </c>
      <c r="O135" s="14" t="s">
        <v>73</v>
      </c>
      <c r="P135" s="14" t="s">
        <v>88</v>
      </c>
    </row>
    <row r="136" spans="1:16" x14ac:dyDescent="0.35">
      <c r="A136" s="14" t="s">
        <v>266</v>
      </c>
      <c r="B136" s="15">
        <v>41755</v>
      </c>
      <c r="C136" s="14" t="s">
        <v>57</v>
      </c>
      <c r="D136" s="14" t="s">
        <v>66</v>
      </c>
      <c r="E136" s="14" t="s">
        <v>100</v>
      </c>
      <c r="F136" s="14" t="s">
        <v>123</v>
      </c>
      <c r="G136" s="14" t="s">
        <v>54</v>
      </c>
      <c r="H136" s="14">
        <v>1</v>
      </c>
      <c r="I136" s="16">
        <v>59.97</v>
      </c>
      <c r="J136" s="16">
        <v>28</v>
      </c>
      <c r="K136" s="16">
        <v>59.97</v>
      </c>
      <c r="L136" s="16">
        <v>31.97</v>
      </c>
      <c r="M136" s="14">
        <v>2014</v>
      </c>
      <c r="N136" s="14">
        <v>4</v>
      </c>
      <c r="O136" s="14" t="s">
        <v>73</v>
      </c>
      <c r="P136" s="14" t="s">
        <v>88</v>
      </c>
    </row>
    <row r="137" spans="1:16" x14ac:dyDescent="0.35">
      <c r="A137" s="14" t="s">
        <v>267</v>
      </c>
      <c r="B137" s="15">
        <v>41756</v>
      </c>
      <c r="C137" s="14" t="s">
        <v>53</v>
      </c>
      <c r="D137" s="14" t="s">
        <v>67</v>
      </c>
      <c r="E137" s="14" t="s">
        <v>150</v>
      </c>
      <c r="F137" s="14" t="s">
        <v>125</v>
      </c>
      <c r="G137" s="14" t="s">
        <v>56</v>
      </c>
      <c r="H137" s="14">
        <v>2</v>
      </c>
      <c r="I137" s="16">
        <v>136.77000000000001</v>
      </c>
      <c r="J137" s="16">
        <v>70</v>
      </c>
      <c r="K137" s="16">
        <v>273.54000000000002</v>
      </c>
      <c r="L137" s="16">
        <v>133.54</v>
      </c>
      <c r="M137" s="14">
        <v>2014</v>
      </c>
      <c r="N137" s="14">
        <v>4</v>
      </c>
      <c r="O137" s="14" t="s">
        <v>73</v>
      </c>
      <c r="P137" s="14" t="s">
        <v>88</v>
      </c>
    </row>
    <row r="138" spans="1:16" x14ac:dyDescent="0.35">
      <c r="A138" s="14" t="s">
        <v>268</v>
      </c>
      <c r="B138" s="15">
        <v>41757</v>
      </c>
      <c r="C138" s="14" t="s">
        <v>57</v>
      </c>
      <c r="D138" s="14" t="s">
        <v>66</v>
      </c>
      <c r="E138" s="14" t="s">
        <v>117</v>
      </c>
      <c r="F138" s="14" t="s">
        <v>123</v>
      </c>
      <c r="G138" s="14" t="s">
        <v>54</v>
      </c>
      <c r="H138" s="14">
        <v>1</v>
      </c>
      <c r="I138" s="16">
        <v>60.15</v>
      </c>
      <c r="J138" s="16">
        <v>28</v>
      </c>
      <c r="K138" s="16">
        <v>60.15</v>
      </c>
      <c r="L138" s="16">
        <v>32.15</v>
      </c>
      <c r="M138" s="14">
        <v>2014</v>
      </c>
      <c r="N138" s="14">
        <v>4</v>
      </c>
      <c r="O138" s="14" t="s">
        <v>73</v>
      </c>
      <c r="P138" s="14" t="s">
        <v>88</v>
      </c>
    </row>
    <row r="139" spans="1:16" x14ac:dyDescent="0.35">
      <c r="A139" s="14" t="s">
        <v>269</v>
      </c>
      <c r="B139" s="15">
        <v>41758</v>
      </c>
      <c r="C139" s="14" t="s">
        <v>57</v>
      </c>
      <c r="D139" s="14" t="s">
        <v>62</v>
      </c>
      <c r="E139" s="14" t="s">
        <v>89</v>
      </c>
      <c r="F139" s="14" t="s">
        <v>156</v>
      </c>
      <c r="G139" s="14" t="s">
        <v>54</v>
      </c>
      <c r="H139" s="14">
        <v>2</v>
      </c>
      <c r="I139" s="16">
        <v>41.12</v>
      </c>
      <c r="J139" s="16">
        <v>18</v>
      </c>
      <c r="K139" s="16">
        <v>82.24</v>
      </c>
      <c r="L139" s="16">
        <v>46.24</v>
      </c>
      <c r="M139" s="14">
        <v>2014</v>
      </c>
      <c r="N139" s="14">
        <v>4</v>
      </c>
      <c r="O139" s="14" t="s">
        <v>73</v>
      </c>
      <c r="P139" s="14" t="s">
        <v>88</v>
      </c>
    </row>
    <row r="140" spans="1:16" x14ac:dyDescent="0.35">
      <c r="A140" s="14" t="s">
        <v>270</v>
      </c>
      <c r="B140" s="15">
        <v>41759</v>
      </c>
      <c r="C140" s="14" t="s">
        <v>53</v>
      </c>
      <c r="D140" s="14" t="s">
        <v>64</v>
      </c>
      <c r="E140" s="14" t="s">
        <v>91</v>
      </c>
      <c r="F140" s="14" t="s">
        <v>123</v>
      </c>
      <c r="G140" s="14" t="s">
        <v>54</v>
      </c>
      <c r="H140" s="14">
        <v>3</v>
      </c>
      <c r="I140" s="16">
        <v>61.19</v>
      </c>
      <c r="J140" s="16">
        <v>28</v>
      </c>
      <c r="K140" s="16">
        <v>183.57</v>
      </c>
      <c r="L140" s="16">
        <v>99.57</v>
      </c>
      <c r="M140" s="14">
        <v>2014</v>
      </c>
      <c r="N140" s="14">
        <v>4</v>
      </c>
      <c r="O140" s="14" t="s">
        <v>73</v>
      </c>
      <c r="P140" s="14" t="s">
        <v>88</v>
      </c>
    </row>
    <row r="141" spans="1:16" x14ac:dyDescent="0.35">
      <c r="A141" s="14" t="s">
        <v>271</v>
      </c>
      <c r="B141" s="15">
        <v>41760</v>
      </c>
      <c r="C141" s="14" t="s">
        <v>59</v>
      </c>
      <c r="D141" s="14" t="s">
        <v>61</v>
      </c>
      <c r="E141" s="14" t="s">
        <v>146</v>
      </c>
      <c r="F141" s="14" t="s">
        <v>125</v>
      </c>
      <c r="G141" s="14" t="s">
        <v>56</v>
      </c>
      <c r="H141" s="14">
        <v>2</v>
      </c>
      <c r="I141" s="16">
        <v>162.85</v>
      </c>
      <c r="J141" s="16">
        <v>70</v>
      </c>
      <c r="K141" s="16">
        <v>325.7</v>
      </c>
      <c r="L141" s="16">
        <v>185.7</v>
      </c>
      <c r="M141" s="14">
        <v>2014</v>
      </c>
      <c r="N141" s="14">
        <v>5</v>
      </c>
      <c r="O141" s="14" t="s">
        <v>74</v>
      </c>
      <c r="P141" s="14" t="s">
        <v>88</v>
      </c>
    </row>
    <row r="142" spans="1:16" x14ac:dyDescent="0.35">
      <c r="A142" s="14" t="s">
        <v>272</v>
      </c>
      <c r="B142" s="15">
        <v>41761</v>
      </c>
      <c r="C142" s="14" t="s">
        <v>59</v>
      </c>
      <c r="D142" s="14" t="s">
        <v>61</v>
      </c>
      <c r="E142" s="14" t="s">
        <v>134</v>
      </c>
      <c r="F142" s="14" t="s">
        <v>156</v>
      </c>
      <c r="G142" s="14" t="s">
        <v>54</v>
      </c>
      <c r="H142" s="14">
        <v>4</v>
      </c>
      <c r="I142" s="16">
        <v>50.97</v>
      </c>
      <c r="J142" s="16">
        <v>18</v>
      </c>
      <c r="K142" s="16">
        <v>203.88</v>
      </c>
      <c r="L142" s="16">
        <v>131.88</v>
      </c>
      <c r="M142" s="14">
        <v>2014</v>
      </c>
      <c r="N142" s="14">
        <v>5</v>
      </c>
      <c r="O142" s="14" t="s">
        <v>74</v>
      </c>
      <c r="P142" s="14" t="s">
        <v>88</v>
      </c>
    </row>
    <row r="143" spans="1:16" x14ac:dyDescent="0.35">
      <c r="A143" s="14" t="s">
        <v>273</v>
      </c>
      <c r="B143" s="15">
        <v>41761</v>
      </c>
      <c r="C143" s="14" t="s">
        <v>57</v>
      </c>
      <c r="D143" s="14" t="s">
        <v>66</v>
      </c>
      <c r="E143" s="14" t="s">
        <v>150</v>
      </c>
      <c r="F143" s="14" t="s">
        <v>118</v>
      </c>
      <c r="G143" s="14" t="s">
        <v>54</v>
      </c>
      <c r="H143" s="14">
        <v>3</v>
      </c>
      <c r="I143" s="16">
        <v>29.49</v>
      </c>
      <c r="J143" s="16">
        <v>12</v>
      </c>
      <c r="K143" s="16">
        <v>88.47</v>
      </c>
      <c r="L143" s="16">
        <v>52.47</v>
      </c>
      <c r="M143" s="14">
        <v>2014</v>
      </c>
      <c r="N143" s="14">
        <v>5</v>
      </c>
      <c r="O143" s="14" t="s">
        <v>74</v>
      </c>
      <c r="P143" s="14" t="s">
        <v>88</v>
      </c>
    </row>
    <row r="144" spans="1:16" x14ac:dyDescent="0.35">
      <c r="A144" s="14" t="s">
        <v>274</v>
      </c>
      <c r="B144" s="15">
        <v>41762</v>
      </c>
      <c r="C144" s="14" t="s">
        <v>53</v>
      </c>
      <c r="D144" s="14" t="s">
        <v>64</v>
      </c>
      <c r="E144" s="14" t="s">
        <v>114</v>
      </c>
      <c r="F144" s="14" t="s">
        <v>128</v>
      </c>
      <c r="G144" s="14" t="s">
        <v>54</v>
      </c>
      <c r="H144" s="14">
        <v>4</v>
      </c>
      <c r="I144" s="16">
        <v>86.28</v>
      </c>
      <c r="J144" s="16">
        <v>40</v>
      </c>
      <c r="K144" s="16">
        <v>345.12</v>
      </c>
      <c r="L144" s="16">
        <v>185.12</v>
      </c>
      <c r="M144" s="14">
        <v>2014</v>
      </c>
      <c r="N144" s="14">
        <v>5</v>
      </c>
      <c r="O144" s="14" t="s">
        <v>74</v>
      </c>
      <c r="P144" s="14" t="s">
        <v>88</v>
      </c>
    </row>
    <row r="145" spans="1:16" x14ac:dyDescent="0.35">
      <c r="A145" s="14" t="s">
        <v>275</v>
      </c>
      <c r="B145" s="15">
        <v>41762</v>
      </c>
      <c r="C145" s="14" t="s">
        <v>55</v>
      </c>
      <c r="D145" s="14" t="s">
        <v>63</v>
      </c>
      <c r="E145" s="14" t="s">
        <v>117</v>
      </c>
      <c r="F145" s="14" t="s">
        <v>128</v>
      </c>
      <c r="G145" s="14" t="s">
        <v>54</v>
      </c>
      <c r="H145" s="14">
        <v>2</v>
      </c>
      <c r="I145" s="16">
        <v>85.18</v>
      </c>
      <c r="J145" s="16">
        <v>40</v>
      </c>
      <c r="K145" s="16">
        <v>170.36</v>
      </c>
      <c r="L145" s="16">
        <v>90.36</v>
      </c>
      <c r="M145" s="14">
        <v>2014</v>
      </c>
      <c r="N145" s="14">
        <v>5</v>
      </c>
      <c r="O145" s="14" t="s">
        <v>74</v>
      </c>
      <c r="P145" s="14" t="s">
        <v>88</v>
      </c>
    </row>
    <row r="146" spans="1:16" x14ac:dyDescent="0.35">
      <c r="A146" s="14" t="s">
        <v>276</v>
      </c>
      <c r="B146" s="15">
        <v>41762</v>
      </c>
      <c r="C146" s="14" t="s">
        <v>53</v>
      </c>
      <c r="D146" s="14" t="s">
        <v>67</v>
      </c>
      <c r="E146" s="14" t="s">
        <v>153</v>
      </c>
      <c r="F146" s="14" t="s">
        <v>132</v>
      </c>
      <c r="G146" s="14" t="s">
        <v>56</v>
      </c>
      <c r="H146" s="14">
        <v>1</v>
      </c>
      <c r="I146" s="16">
        <v>39.44</v>
      </c>
      <c r="J146" s="16">
        <v>15</v>
      </c>
      <c r="K146" s="16">
        <v>39.44</v>
      </c>
      <c r="L146" s="16">
        <v>24.44</v>
      </c>
      <c r="M146" s="14">
        <v>2014</v>
      </c>
      <c r="N146" s="14">
        <v>5</v>
      </c>
      <c r="O146" s="14" t="s">
        <v>74</v>
      </c>
      <c r="P146" s="14" t="s">
        <v>88</v>
      </c>
    </row>
    <row r="147" spans="1:16" x14ac:dyDescent="0.35">
      <c r="A147" s="14" t="s">
        <v>277</v>
      </c>
      <c r="B147" s="15">
        <v>41763</v>
      </c>
      <c r="C147" s="14" t="s">
        <v>59</v>
      </c>
      <c r="D147" s="14" t="s">
        <v>68</v>
      </c>
      <c r="E147" s="14" t="s">
        <v>100</v>
      </c>
      <c r="F147" s="14" t="s">
        <v>137</v>
      </c>
      <c r="G147" s="14" t="s">
        <v>54</v>
      </c>
      <c r="H147" s="14">
        <v>1</v>
      </c>
      <c r="I147" s="16">
        <v>336.89</v>
      </c>
      <c r="J147" s="16">
        <v>180</v>
      </c>
      <c r="K147" s="16">
        <v>336.89</v>
      </c>
      <c r="L147" s="16">
        <v>156.88999999999999</v>
      </c>
      <c r="M147" s="14">
        <v>2014</v>
      </c>
      <c r="N147" s="14">
        <v>5</v>
      </c>
      <c r="O147" s="14" t="s">
        <v>74</v>
      </c>
      <c r="P147" s="14" t="s">
        <v>88</v>
      </c>
    </row>
    <row r="148" spans="1:16" x14ac:dyDescent="0.35">
      <c r="A148" s="14" t="s">
        <v>278</v>
      </c>
      <c r="B148" s="15">
        <v>41764</v>
      </c>
      <c r="C148" s="14" t="s">
        <v>55</v>
      </c>
      <c r="D148" s="14" t="s">
        <v>63</v>
      </c>
      <c r="E148" s="14" t="s">
        <v>91</v>
      </c>
      <c r="F148" s="14" t="s">
        <v>132</v>
      </c>
      <c r="G148" s="14" t="s">
        <v>56</v>
      </c>
      <c r="H148" s="14">
        <v>1</v>
      </c>
      <c r="I148" s="16">
        <v>38.979999999999997</v>
      </c>
      <c r="J148" s="16">
        <v>15</v>
      </c>
      <c r="K148" s="16">
        <v>38.979999999999997</v>
      </c>
      <c r="L148" s="16">
        <v>23.98</v>
      </c>
      <c r="M148" s="14">
        <v>2014</v>
      </c>
      <c r="N148" s="14">
        <v>5</v>
      </c>
      <c r="O148" s="14" t="s">
        <v>74</v>
      </c>
      <c r="P148" s="14" t="s">
        <v>88</v>
      </c>
    </row>
    <row r="149" spans="1:16" x14ac:dyDescent="0.35">
      <c r="A149" s="14" t="s">
        <v>279</v>
      </c>
      <c r="B149" s="15">
        <v>41764</v>
      </c>
      <c r="C149" s="14" t="s">
        <v>57</v>
      </c>
      <c r="D149" s="14" t="s">
        <v>66</v>
      </c>
      <c r="E149" s="14" t="s">
        <v>131</v>
      </c>
      <c r="F149" s="14" t="s">
        <v>132</v>
      </c>
      <c r="G149" s="14" t="s">
        <v>56</v>
      </c>
      <c r="H149" s="14">
        <v>1</v>
      </c>
      <c r="I149" s="16">
        <v>40.69</v>
      </c>
      <c r="J149" s="16">
        <v>15</v>
      </c>
      <c r="K149" s="16">
        <v>40.69</v>
      </c>
      <c r="L149" s="16">
        <v>25.69</v>
      </c>
      <c r="M149" s="14">
        <v>2014</v>
      </c>
      <c r="N149" s="14">
        <v>5</v>
      </c>
      <c r="O149" s="14" t="s">
        <v>74</v>
      </c>
      <c r="P149" s="14" t="s">
        <v>88</v>
      </c>
    </row>
    <row r="150" spans="1:16" x14ac:dyDescent="0.35">
      <c r="A150" s="14" t="s">
        <v>280</v>
      </c>
      <c r="B150" s="15">
        <v>41764</v>
      </c>
      <c r="C150" s="14" t="s">
        <v>53</v>
      </c>
      <c r="D150" s="14" t="s">
        <v>67</v>
      </c>
      <c r="E150" s="14" t="s">
        <v>146</v>
      </c>
      <c r="F150" s="14" t="s">
        <v>132</v>
      </c>
      <c r="G150" s="14" t="s">
        <v>56</v>
      </c>
      <c r="H150" s="14">
        <v>4</v>
      </c>
      <c r="I150" s="16">
        <v>40.74</v>
      </c>
      <c r="J150" s="16">
        <v>15</v>
      </c>
      <c r="K150" s="16">
        <v>162.96</v>
      </c>
      <c r="L150" s="16">
        <v>102.96</v>
      </c>
      <c r="M150" s="14">
        <v>2014</v>
      </c>
      <c r="N150" s="14">
        <v>5</v>
      </c>
      <c r="O150" s="14" t="s">
        <v>74</v>
      </c>
      <c r="P150" s="14" t="s">
        <v>88</v>
      </c>
    </row>
    <row r="151" spans="1:16" x14ac:dyDescent="0.35">
      <c r="A151" s="14" t="s">
        <v>281</v>
      </c>
      <c r="B151" s="15">
        <v>41767</v>
      </c>
      <c r="C151" s="14" t="s">
        <v>57</v>
      </c>
      <c r="D151" s="14" t="s">
        <v>62</v>
      </c>
      <c r="E151" s="14" t="s">
        <v>131</v>
      </c>
      <c r="F151" s="14" t="s">
        <v>125</v>
      </c>
      <c r="G151" s="14" t="s">
        <v>56</v>
      </c>
      <c r="H151" s="14">
        <v>1</v>
      </c>
      <c r="I151" s="16">
        <v>161.41999999999999</v>
      </c>
      <c r="J151" s="16">
        <v>70</v>
      </c>
      <c r="K151" s="16">
        <v>161.41999999999999</v>
      </c>
      <c r="L151" s="16">
        <v>91.42</v>
      </c>
      <c r="M151" s="14">
        <v>2014</v>
      </c>
      <c r="N151" s="14">
        <v>5</v>
      </c>
      <c r="O151" s="14" t="s">
        <v>74</v>
      </c>
      <c r="P151" s="14" t="s">
        <v>88</v>
      </c>
    </row>
    <row r="152" spans="1:16" x14ac:dyDescent="0.35">
      <c r="A152" s="14" t="s">
        <v>282</v>
      </c>
      <c r="B152" s="15">
        <v>41767</v>
      </c>
      <c r="C152" s="14" t="s">
        <v>53</v>
      </c>
      <c r="D152" s="14" t="s">
        <v>64</v>
      </c>
      <c r="E152" s="14" t="s">
        <v>139</v>
      </c>
      <c r="F152" s="14" t="s">
        <v>118</v>
      </c>
      <c r="G152" s="14" t="s">
        <v>54</v>
      </c>
      <c r="H152" s="14">
        <v>1</v>
      </c>
      <c r="I152" s="16">
        <v>27.66</v>
      </c>
      <c r="J152" s="16">
        <v>12</v>
      </c>
      <c r="K152" s="16">
        <v>27.66</v>
      </c>
      <c r="L152" s="16">
        <v>15.66</v>
      </c>
      <c r="M152" s="14">
        <v>2014</v>
      </c>
      <c r="N152" s="14">
        <v>5</v>
      </c>
      <c r="O152" s="14" t="s">
        <v>74</v>
      </c>
      <c r="P152" s="14" t="s">
        <v>88</v>
      </c>
    </row>
    <row r="153" spans="1:16" x14ac:dyDescent="0.35">
      <c r="A153" s="14" t="s">
        <v>283</v>
      </c>
      <c r="B153" s="15">
        <v>41768</v>
      </c>
      <c r="C153" s="14" t="s">
        <v>55</v>
      </c>
      <c r="D153" s="14" t="s">
        <v>65</v>
      </c>
      <c r="E153" s="14" t="s">
        <v>146</v>
      </c>
      <c r="F153" s="14" t="s">
        <v>118</v>
      </c>
      <c r="G153" s="14" t="s">
        <v>54</v>
      </c>
      <c r="H153" s="14">
        <v>3</v>
      </c>
      <c r="I153" s="16">
        <v>30.31</v>
      </c>
      <c r="J153" s="16">
        <v>12</v>
      </c>
      <c r="K153" s="16">
        <v>90.93</v>
      </c>
      <c r="L153" s="16">
        <v>54.93</v>
      </c>
      <c r="M153" s="14">
        <v>2014</v>
      </c>
      <c r="N153" s="14">
        <v>5</v>
      </c>
      <c r="O153" s="14" t="s">
        <v>74</v>
      </c>
      <c r="P153" s="14" t="s">
        <v>88</v>
      </c>
    </row>
    <row r="154" spans="1:16" x14ac:dyDescent="0.35">
      <c r="A154" s="14" t="s">
        <v>284</v>
      </c>
      <c r="B154" s="15">
        <v>41768</v>
      </c>
      <c r="C154" s="14" t="s">
        <v>53</v>
      </c>
      <c r="D154" s="14" t="s">
        <v>67</v>
      </c>
      <c r="E154" s="14" t="s">
        <v>114</v>
      </c>
      <c r="F154" s="14" t="s">
        <v>142</v>
      </c>
      <c r="G154" s="14" t="s">
        <v>58</v>
      </c>
      <c r="H154" s="14">
        <v>2</v>
      </c>
      <c r="I154" s="16">
        <v>12.83</v>
      </c>
      <c r="J154" s="16">
        <v>4</v>
      </c>
      <c r="K154" s="16">
        <v>25.66</v>
      </c>
      <c r="L154" s="16">
        <v>17.66</v>
      </c>
      <c r="M154" s="14">
        <v>2014</v>
      </c>
      <c r="N154" s="14">
        <v>5</v>
      </c>
      <c r="O154" s="14" t="s">
        <v>74</v>
      </c>
      <c r="P154" s="14" t="s">
        <v>88</v>
      </c>
    </row>
    <row r="155" spans="1:16" x14ac:dyDescent="0.35">
      <c r="A155" s="14" t="s">
        <v>285</v>
      </c>
      <c r="B155" s="15">
        <v>41769</v>
      </c>
      <c r="C155" s="14" t="s">
        <v>59</v>
      </c>
      <c r="D155" s="14" t="s">
        <v>66</v>
      </c>
      <c r="E155" s="14" t="s">
        <v>131</v>
      </c>
      <c r="F155" s="14" t="s">
        <v>125</v>
      </c>
      <c r="G155" s="14" t="s">
        <v>56</v>
      </c>
      <c r="H155" s="14">
        <v>3</v>
      </c>
      <c r="I155" s="16">
        <v>151.07</v>
      </c>
      <c r="J155" s="16">
        <v>70</v>
      </c>
      <c r="K155" s="16">
        <v>453.21</v>
      </c>
      <c r="L155" s="16">
        <v>243.21</v>
      </c>
      <c r="M155" s="14">
        <v>2014</v>
      </c>
      <c r="N155" s="14">
        <v>5</v>
      </c>
      <c r="O155" s="14" t="s">
        <v>74</v>
      </c>
      <c r="P155" s="14" t="s">
        <v>88</v>
      </c>
    </row>
    <row r="156" spans="1:16" x14ac:dyDescent="0.35">
      <c r="A156" s="14" t="s">
        <v>286</v>
      </c>
      <c r="B156" s="15">
        <v>41770</v>
      </c>
      <c r="C156" s="14" t="s">
        <v>53</v>
      </c>
      <c r="D156" s="14" t="s">
        <v>67</v>
      </c>
      <c r="E156" s="14" t="s">
        <v>139</v>
      </c>
      <c r="F156" s="14" t="s">
        <v>115</v>
      </c>
      <c r="G156" s="14" t="s">
        <v>56</v>
      </c>
      <c r="H156" s="14">
        <v>1</v>
      </c>
      <c r="I156" s="16">
        <v>468.25</v>
      </c>
      <c r="J156" s="16">
        <v>220</v>
      </c>
      <c r="K156" s="16">
        <v>468.25</v>
      </c>
      <c r="L156" s="16">
        <v>248.25</v>
      </c>
      <c r="M156" s="14">
        <v>2014</v>
      </c>
      <c r="N156" s="14">
        <v>5</v>
      </c>
      <c r="O156" s="14" t="s">
        <v>74</v>
      </c>
      <c r="P156" s="14" t="s">
        <v>88</v>
      </c>
    </row>
    <row r="157" spans="1:16" x14ac:dyDescent="0.35">
      <c r="A157" s="14" t="s">
        <v>287</v>
      </c>
      <c r="B157" s="15">
        <v>41772</v>
      </c>
      <c r="C157" s="14" t="s">
        <v>57</v>
      </c>
      <c r="D157" s="14" t="s">
        <v>66</v>
      </c>
      <c r="E157" s="14" t="s">
        <v>98</v>
      </c>
      <c r="F157" s="14" t="s">
        <v>142</v>
      </c>
      <c r="G157" s="14" t="s">
        <v>58</v>
      </c>
      <c r="H157" s="14">
        <v>2</v>
      </c>
      <c r="I157" s="16">
        <v>12.52</v>
      </c>
      <c r="J157" s="16">
        <v>4</v>
      </c>
      <c r="K157" s="16">
        <v>25.04</v>
      </c>
      <c r="L157" s="16">
        <v>17.04</v>
      </c>
      <c r="M157" s="14">
        <v>2014</v>
      </c>
      <c r="N157" s="14">
        <v>5</v>
      </c>
      <c r="O157" s="14" t="s">
        <v>74</v>
      </c>
      <c r="P157" s="14" t="s">
        <v>88</v>
      </c>
    </row>
    <row r="158" spans="1:16" x14ac:dyDescent="0.35">
      <c r="A158" s="14" t="s">
        <v>288</v>
      </c>
      <c r="B158" s="15">
        <v>41772</v>
      </c>
      <c r="C158" s="14" t="s">
        <v>59</v>
      </c>
      <c r="D158" s="14" t="s">
        <v>61</v>
      </c>
      <c r="E158" s="14" t="s">
        <v>153</v>
      </c>
      <c r="F158" s="14" t="s">
        <v>137</v>
      </c>
      <c r="G158" s="14" t="s">
        <v>54</v>
      </c>
      <c r="H158" s="14">
        <v>3</v>
      </c>
      <c r="I158" s="16">
        <v>319.86</v>
      </c>
      <c r="J158" s="16">
        <v>180</v>
      </c>
      <c r="K158" s="16">
        <v>959.58</v>
      </c>
      <c r="L158" s="16">
        <v>419.58</v>
      </c>
      <c r="M158" s="14">
        <v>2014</v>
      </c>
      <c r="N158" s="14">
        <v>5</v>
      </c>
      <c r="O158" s="14" t="s">
        <v>74</v>
      </c>
      <c r="P158" s="14" t="s">
        <v>88</v>
      </c>
    </row>
    <row r="159" spans="1:16" x14ac:dyDescent="0.35">
      <c r="A159" s="14" t="s">
        <v>289</v>
      </c>
      <c r="B159" s="15">
        <v>41772</v>
      </c>
      <c r="C159" s="14" t="s">
        <v>59</v>
      </c>
      <c r="D159" s="14" t="s">
        <v>68</v>
      </c>
      <c r="E159" s="14" t="s">
        <v>91</v>
      </c>
      <c r="F159" s="14" t="s">
        <v>132</v>
      </c>
      <c r="G159" s="14" t="s">
        <v>56</v>
      </c>
      <c r="H159" s="14">
        <v>2</v>
      </c>
      <c r="I159" s="16">
        <v>37.119999999999997</v>
      </c>
      <c r="J159" s="16">
        <v>15</v>
      </c>
      <c r="K159" s="16">
        <v>74.239999999999995</v>
      </c>
      <c r="L159" s="16">
        <v>44.24</v>
      </c>
      <c r="M159" s="14">
        <v>2014</v>
      </c>
      <c r="N159" s="14">
        <v>5</v>
      </c>
      <c r="O159" s="14" t="s">
        <v>74</v>
      </c>
      <c r="P159" s="14" t="s">
        <v>88</v>
      </c>
    </row>
    <row r="160" spans="1:16" x14ac:dyDescent="0.35">
      <c r="A160" s="14" t="s">
        <v>290</v>
      </c>
      <c r="B160" s="15">
        <v>41773</v>
      </c>
      <c r="C160" s="14" t="s">
        <v>59</v>
      </c>
      <c r="D160" s="14" t="s">
        <v>68</v>
      </c>
      <c r="E160" s="14" t="s">
        <v>134</v>
      </c>
      <c r="F160" s="14" t="s">
        <v>137</v>
      </c>
      <c r="G160" s="14" t="s">
        <v>54</v>
      </c>
      <c r="H160" s="14">
        <v>1</v>
      </c>
      <c r="I160" s="16">
        <v>341.49</v>
      </c>
      <c r="J160" s="16">
        <v>180</v>
      </c>
      <c r="K160" s="16">
        <v>341.49</v>
      </c>
      <c r="L160" s="16">
        <v>161.49</v>
      </c>
      <c r="M160" s="14">
        <v>2014</v>
      </c>
      <c r="N160" s="14">
        <v>5</v>
      </c>
      <c r="O160" s="14" t="s">
        <v>74</v>
      </c>
      <c r="P160" s="14" t="s">
        <v>88</v>
      </c>
    </row>
    <row r="161" spans="1:16" x14ac:dyDescent="0.35">
      <c r="A161" s="14" t="s">
        <v>291</v>
      </c>
      <c r="B161" s="15">
        <v>41775</v>
      </c>
      <c r="C161" s="14" t="s">
        <v>59</v>
      </c>
      <c r="D161" s="14" t="s">
        <v>67</v>
      </c>
      <c r="E161" s="14" t="s">
        <v>146</v>
      </c>
      <c r="F161" s="14" t="s">
        <v>137</v>
      </c>
      <c r="G161" s="14" t="s">
        <v>54</v>
      </c>
      <c r="H161" s="14">
        <v>2</v>
      </c>
      <c r="I161" s="16">
        <v>344.93</v>
      </c>
      <c r="J161" s="16">
        <v>180</v>
      </c>
      <c r="K161" s="16">
        <v>689.86</v>
      </c>
      <c r="L161" s="16">
        <v>329.86</v>
      </c>
      <c r="M161" s="14">
        <v>2014</v>
      </c>
      <c r="N161" s="14">
        <v>5</v>
      </c>
      <c r="O161" s="14" t="s">
        <v>74</v>
      </c>
      <c r="P161" s="14" t="s">
        <v>88</v>
      </c>
    </row>
    <row r="162" spans="1:16" x14ac:dyDescent="0.35">
      <c r="A162" s="14" t="s">
        <v>292</v>
      </c>
      <c r="B162" s="15">
        <v>41776</v>
      </c>
      <c r="C162" s="14" t="s">
        <v>55</v>
      </c>
      <c r="D162" s="14" t="s">
        <v>61</v>
      </c>
      <c r="E162" s="14" t="s">
        <v>114</v>
      </c>
      <c r="F162" s="14" t="s">
        <v>142</v>
      </c>
      <c r="G162" s="14" t="s">
        <v>58</v>
      </c>
      <c r="H162" s="14">
        <v>2</v>
      </c>
      <c r="I162" s="16">
        <v>12.91</v>
      </c>
      <c r="J162" s="16">
        <v>4</v>
      </c>
      <c r="K162" s="16">
        <v>25.82</v>
      </c>
      <c r="L162" s="16">
        <v>17.82</v>
      </c>
      <c r="M162" s="14">
        <v>2014</v>
      </c>
      <c r="N162" s="14">
        <v>5</v>
      </c>
      <c r="O162" s="14" t="s">
        <v>74</v>
      </c>
      <c r="P162" s="14" t="s">
        <v>88</v>
      </c>
    </row>
    <row r="163" spans="1:16" x14ac:dyDescent="0.35">
      <c r="A163" s="14" t="s">
        <v>293</v>
      </c>
      <c r="B163" s="15">
        <v>41778</v>
      </c>
      <c r="C163" s="14" t="s">
        <v>55</v>
      </c>
      <c r="D163" s="14" t="s">
        <v>61</v>
      </c>
      <c r="E163" s="14" t="s">
        <v>89</v>
      </c>
      <c r="F163" s="14" t="s">
        <v>142</v>
      </c>
      <c r="G163" s="14" t="s">
        <v>58</v>
      </c>
      <c r="H163" s="14">
        <v>1</v>
      </c>
      <c r="I163" s="16">
        <v>13.11</v>
      </c>
      <c r="J163" s="16">
        <v>4</v>
      </c>
      <c r="K163" s="16">
        <v>13.11</v>
      </c>
      <c r="L163" s="16">
        <v>9.11</v>
      </c>
      <c r="M163" s="14">
        <v>2014</v>
      </c>
      <c r="N163" s="14">
        <v>5</v>
      </c>
      <c r="O163" s="14" t="s">
        <v>74</v>
      </c>
      <c r="P163" s="14" t="s">
        <v>88</v>
      </c>
    </row>
    <row r="164" spans="1:16" x14ac:dyDescent="0.35">
      <c r="A164" s="14" t="s">
        <v>294</v>
      </c>
      <c r="B164" s="15">
        <v>41779</v>
      </c>
      <c r="C164" s="14" t="s">
        <v>59</v>
      </c>
      <c r="D164" s="14" t="s">
        <v>68</v>
      </c>
      <c r="E164" s="14" t="s">
        <v>87</v>
      </c>
      <c r="F164" s="14" t="s">
        <v>137</v>
      </c>
      <c r="G164" s="14" t="s">
        <v>54</v>
      </c>
      <c r="H164" s="14">
        <v>3</v>
      </c>
      <c r="I164" s="16">
        <v>338.81</v>
      </c>
      <c r="J164" s="16">
        <v>180</v>
      </c>
      <c r="K164" s="16">
        <v>1016.43</v>
      </c>
      <c r="L164" s="16">
        <v>476.43</v>
      </c>
      <c r="M164" s="14">
        <v>2014</v>
      </c>
      <c r="N164" s="14">
        <v>5</v>
      </c>
      <c r="O164" s="14" t="s">
        <v>74</v>
      </c>
      <c r="P164" s="14" t="s">
        <v>90</v>
      </c>
    </row>
    <row r="165" spans="1:16" x14ac:dyDescent="0.35">
      <c r="A165" s="14" t="s">
        <v>295</v>
      </c>
      <c r="B165" s="15">
        <v>41780</v>
      </c>
      <c r="C165" s="14" t="s">
        <v>53</v>
      </c>
      <c r="D165" s="14" t="s">
        <v>67</v>
      </c>
      <c r="E165" s="14" t="s">
        <v>91</v>
      </c>
      <c r="F165" s="14" t="s">
        <v>140</v>
      </c>
      <c r="G165" s="14" t="s">
        <v>56</v>
      </c>
      <c r="H165" s="14">
        <v>4</v>
      </c>
      <c r="I165" s="16">
        <v>193.63</v>
      </c>
      <c r="J165" s="16">
        <v>95</v>
      </c>
      <c r="K165" s="16">
        <v>774.52</v>
      </c>
      <c r="L165" s="16">
        <v>394.52</v>
      </c>
      <c r="M165" s="14">
        <v>2014</v>
      </c>
      <c r="N165" s="14">
        <v>5</v>
      </c>
      <c r="O165" s="14" t="s">
        <v>74</v>
      </c>
      <c r="P165" s="14" t="s">
        <v>88</v>
      </c>
    </row>
    <row r="166" spans="1:16" x14ac:dyDescent="0.35">
      <c r="A166" s="14" t="s">
        <v>296</v>
      </c>
      <c r="B166" s="15">
        <v>41781</v>
      </c>
      <c r="C166" s="14" t="s">
        <v>53</v>
      </c>
      <c r="D166" s="14" t="s">
        <v>64</v>
      </c>
      <c r="E166" s="14" t="s">
        <v>131</v>
      </c>
      <c r="F166" s="14" t="s">
        <v>156</v>
      </c>
      <c r="G166" s="14" t="s">
        <v>54</v>
      </c>
      <c r="H166" s="14">
        <v>1</v>
      </c>
      <c r="I166" s="16">
        <v>48.32</v>
      </c>
      <c r="J166" s="16">
        <v>18</v>
      </c>
      <c r="K166" s="16">
        <v>48.32</v>
      </c>
      <c r="L166" s="16">
        <v>30.32</v>
      </c>
      <c r="M166" s="14">
        <v>2014</v>
      </c>
      <c r="N166" s="14">
        <v>5</v>
      </c>
      <c r="O166" s="14" t="s">
        <v>74</v>
      </c>
      <c r="P166" s="14" t="s">
        <v>88</v>
      </c>
    </row>
    <row r="167" spans="1:16" x14ac:dyDescent="0.35">
      <c r="A167" s="14" t="s">
        <v>297</v>
      </c>
      <c r="B167" s="15">
        <v>41782</v>
      </c>
      <c r="C167" s="14" t="s">
        <v>57</v>
      </c>
      <c r="D167" s="14" t="s">
        <v>66</v>
      </c>
      <c r="E167" s="14" t="s">
        <v>87</v>
      </c>
      <c r="F167" s="14" t="s">
        <v>125</v>
      </c>
      <c r="G167" s="14" t="s">
        <v>56</v>
      </c>
      <c r="H167" s="14">
        <v>1</v>
      </c>
      <c r="I167" s="16">
        <v>151.49</v>
      </c>
      <c r="J167" s="16">
        <v>70</v>
      </c>
      <c r="K167" s="16">
        <v>151.49</v>
      </c>
      <c r="L167" s="16">
        <v>81.489999999999995</v>
      </c>
      <c r="M167" s="14">
        <v>2014</v>
      </c>
      <c r="N167" s="14">
        <v>5</v>
      </c>
      <c r="O167" s="14" t="s">
        <v>74</v>
      </c>
      <c r="P167" s="14" t="s">
        <v>88</v>
      </c>
    </row>
    <row r="168" spans="1:16" x14ac:dyDescent="0.35">
      <c r="A168" s="14" t="s">
        <v>298</v>
      </c>
      <c r="B168" s="15">
        <v>41782</v>
      </c>
      <c r="C168" s="14" t="s">
        <v>59</v>
      </c>
      <c r="D168" s="14" t="s">
        <v>61</v>
      </c>
      <c r="E168" s="14" t="s">
        <v>87</v>
      </c>
      <c r="F168" s="14" t="s">
        <v>128</v>
      </c>
      <c r="G168" s="14" t="s">
        <v>54</v>
      </c>
      <c r="H168" s="14">
        <v>5</v>
      </c>
      <c r="I168" s="16">
        <v>88.73</v>
      </c>
      <c r="J168" s="16">
        <v>40</v>
      </c>
      <c r="K168" s="16">
        <v>443.65</v>
      </c>
      <c r="L168" s="16">
        <v>243.65</v>
      </c>
      <c r="M168" s="14">
        <v>2014</v>
      </c>
      <c r="N168" s="14">
        <v>5</v>
      </c>
      <c r="O168" s="14" t="s">
        <v>74</v>
      </c>
      <c r="P168" s="14" t="s">
        <v>88</v>
      </c>
    </row>
    <row r="169" spans="1:16" x14ac:dyDescent="0.35">
      <c r="A169" s="14" t="s">
        <v>299</v>
      </c>
      <c r="B169" s="15">
        <v>41782</v>
      </c>
      <c r="C169" s="14" t="s">
        <v>57</v>
      </c>
      <c r="D169" s="14" t="s">
        <v>66</v>
      </c>
      <c r="E169" s="14" t="s">
        <v>134</v>
      </c>
      <c r="F169" s="14" t="s">
        <v>137</v>
      </c>
      <c r="G169" s="14" t="s">
        <v>54</v>
      </c>
      <c r="H169" s="14">
        <v>2</v>
      </c>
      <c r="I169" s="16">
        <v>341.14</v>
      </c>
      <c r="J169" s="16">
        <v>180</v>
      </c>
      <c r="K169" s="16">
        <v>682.28</v>
      </c>
      <c r="L169" s="16">
        <v>322.27999999999997</v>
      </c>
      <c r="M169" s="14">
        <v>2014</v>
      </c>
      <c r="N169" s="14">
        <v>5</v>
      </c>
      <c r="O169" s="14" t="s">
        <v>74</v>
      </c>
      <c r="P169" s="14" t="s">
        <v>88</v>
      </c>
    </row>
    <row r="170" spans="1:16" x14ac:dyDescent="0.35">
      <c r="A170" s="14" t="s">
        <v>300</v>
      </c>
      <c r="B170" s="15">
        <v>41784</v>
      </c>
      <c r="C170" s="14" t="s">
        <v>59</v>
      </c>
      <c r="D170" s="14" t="s">
        <v>68</v>
      </c>
      <c r="E170" s="14" t="s">
        <v>87</v>
      </c>
      <c r="F170" s="14" t="s">
        <v>115</v>
      </c>
      <c r="G170" s="14" t="s">
        <v>56</v>
      </c>
      <c r="H170" s="14">
        <v>3</v>
      </c>
      <c r="I170" s="16">
        <v>462.53</v>
      </c>
      <c r="J170" s="16">
        <v>220</v>
      </c>
      <c r="K170" s="16">
        <v>1387.59</v>
      </c>
      <c r="L170" s="16">
        <v>727.59</v>
      </c>
      <c r="M170" s="14">
        <v>2014</v>
      </c>
      <c r="N170" s="14">
        <v>5</v>
      </c>
      <c r="O170" s="14" t="s">
        <v>74</v>
      </c>
      <c r="P170" s="14" t="s">
        <v>90</v>
      </c>
    </row>
    <row r="171" spans="1:16" x14ac:dyDescent="0.35">
      <c r="A171" s="14" t="s">
        <v>301</v>
      </c>
      <c r="B171" s="15">
        <v>41785</v>
      </c>
      <c r="C171" s="14" t="s">
        <v>55</v>
      </c>
      <c r="D171" s="14" t="s">
        <v>63</v>
      </c>
      <c r="E171" s="14" t="s">
        <v>100</v>
      </c>
      <c r="F171" s="14" t="s">
        <v>125</v>
      </c>
      <c r="G171" s="14" t="s">
        <v>56</v>
      </c>
      <c r="H171" s="14">
        <v>2</v>
      </c>
      <c r="I171" s="16">
        <v>165.97</v>
      </c>
      <c r="J171" s="16">
        <v>70</v>
      </c>
      <c r="K171" s="16">
        <v>331.94</v>
      </c>
      <c r="L171" s="16">
        <v>191.94</v>
      </c>
      <c r="M171" s="14">
        <v>2014</v>
      </c>
      <c r="N171" s="14">
        <v>5</v>
      </c>
      <c r="O171" s="14" t="s">
        <v>74</v>
      </c>
      <c r="P171" s="14" t="s">
        <v>88</v>
      </c>
    </row>
    <row r="172" spans="1:16" x14ac:dyDescent="0.35">
      <c r="A172" s="14" t="s">
        <v>302</v>
      </c>
      <c r="B172" s="15">
        <v>41785</v>
      </c>
      <c r="C172" s="14" t="s">
        <v>57</v>
      </c>
      <c r="D172" s="14" t="s">
        <v>66</v>
      </c>
      <c r="E172" s="14" t="s">
        <v>150</v>
      </c>
      <c r="F172" s="14" t="s">
        <v>123</v>
      </c>
      <c r="G172" s="14" t="s">
        <v>54</v>
      </c>
      <c r="H172" s="14">
        <v>4</v>
      </c>
      <c r="I172" s="16">
        <v>70.989999999999995</v>
      </c>
      <c r="J172" s="16">
        <v>28</v>
      </c>
      <c r="K172" s="16">
        <v>283.95999999999998</v>
      </c>
      <c r="L172" s="16">
        <v>171.96</v>
      </c>
      <c r="M172" s="14">
        <v>2014</v>
      </c>
      <c r="N172" s="14">
        <v>5</v>
      </c>
      <c r="O172" s="14" t="s">
        <v>74</v>
      </c>
      <c r="P172" s="14" t="s">
        <v>88</v>
      </c>
    </row>
    <row r="173" spans="1:16" x14ac:dyDescent="0.35">
      <c r="A173" s="14" t="s">
        <v>303</v>
      </c>
      <c r="B173" s="15">
        <v>41786</v>
      </c>
      <c r="C173" s="14" t="s">
        <v>55</v>
      </c>
      <c r="D173" s="14" t="s">
        <v>63</v>
      </c>
      <c r="E173" s="14" t="s">
        <v>150</v>
      </c>
      <c r="F173" s="14" t="s">
        <v>128</v>
      </c>
      <c r="G173" s="14" t="s">
        <v>54</v>
      </c>
      <c r="H173" s="14">
        <v>2</v>
      </c>
      <c r="I173" s="16">
        <v>84.6</v>
      </c>
      <c r="J173" s="16">
        <v>40</v>
      </c>
      <c r="K173" s="16">
        <v>169.2</v>
      </c>
      <c r="L173" s="16">
        <v>89.2</v>
      </c>
      <c r="M173" s="14">
        <v>2014</v>
      </c>
      <c r="N173" s="14">
        <v>5</v>
      </c>
      <c r="O173" s="14" t="s">
        <v>74</v>
      </c>
      <c r="P173" s="14" t="s">
        <v>88</v>
      </c>
    </row>
    <row r="174" spans="1:16" x14ac:dyDescent="0.35">
      <c r="A174" s="14" t="s">
        <v>304</v>
      </c>
      <c r="B174" s="15">
        <v>41787</v>
      </c>
      <c r="C174" s="14" t="s">
        <v>53</v>
      </c>
      <c r="D174" s="14" t="s">
        <v>64</v>
      </c>
      <c r="E174" s="14" t="s">
        <v>98</v>
      </c>
      <c r="F174" s="14" t="s">
        <v>125</v>
      </c>
      <c r="G174" s="14" t="s">
        <v>56</v>
      </c>
      <c r="H174" s="14">
        <v>1</v>
      </c>
      <c r="I174" s="16">
        <v>161.49</v>
      </c>
      <c r="J174" s="16">
        <v>70</v>
      </c>
      <c r="K174" s="16">
        <v>161.49</v>
      </c>
      <c r="L174" s="16">
        <v>91.49</v>
      </c>
      <c r="M174" s="14">
        <v>2014</v>
      </c>
      <c r="N174" s="14">
        <v>5</v>
      </c>
      <c r="O174" s="14" t="s">
        <v>74</v>
      </c>
      <c r="P174" s="14" t="s">
        <v>88</v>
      </c>
    </row>
    <row r="175" spans="1:16" x14ac:dyDescent="0.35">
      <c r="A175" s="14" t="s">
        <v>305</v>
      </c>
      <c r="B175" s="15">
        <v>41789</v>
      </c>
      <c r="C175" s="14" t="s">
        <v>53</v>
      </c>
      <c r="D175" s="14" t="s">
        <v>64</v>
      </c>
      <c r="E175" s="14" t="s">
        <v>117</v>
      </c>
      <c r="F175" s="14" t="s">
        <v>128</v>
      </c>
      <c r="G175" s="14" t="s">
        <v>54</v>
      </c>
      <c r="H175" s="14">
        <v>1</v>
      </c>
      <c r="I175" s="16">
        <v>93.2</v>
      </c>
      <c r="J175" s="16">
        <v>40</v>
      </c>
      <c r="K175" s="16">
        <v>93.2</v>
      </c>
      <c r="L175" s="16">
        <v>53.2</v>
      </c>
      <c r="M175" s="14">
        <v>2014</v>
      </c>
      <c r="N175" s="14">
        <v>5</v>
      </c>
      <c r="O175" s="14" t="s">
        <v>74</v>
      </c>
      <c r="P175" s="14" t="s">
        <v>88</v>
      </c>
    </row>
    <row r="176" spans="1:16" x14ac:dyDescent="0.35">
      <c r="A176" s="14" t="s">
        <v>306</v>
      </c>
      <c r="B176" s="15">
        <v>41791</v>
      </c>
      <c r="C176" s="14" t="s">
        <v>57</v>
      </c>
      <c r="D176" s="14" t="s">
        <v>66</v>
      </c>
      <c r="E176" s="14" t="s">
        <v>134</v>
      </c>
      <c r="F176" s="14" t="s">
        <v>118</v>
      </c>
      <c r="G176" s="14" t="s">
        <v>54</v>
      </c>
      <c r="H176" s="14">
        <v>1</v>
      </c>
      <c r="I176" s="16">
        <v>40.98</v>
      </c>
      <c r="J176" s="16">
        <v>12</v>
      </c>
      <c r="K176" s="16">
        <v>40.98</v>
      </c>
      <c r="L176" s="16">
        <v>28.98</v>
      </c>
      <c r="M176" s="14">
        <v>2014</v>
      </c>
      <c r="N176" s="14">
        <v>6</v>
      </c>
      <c r="O176" s="14" t="s">
        <v>75</v>
      </c>
      <c r="P176" s="14" t="s">
        <v>88</v>
      </c>
    </row>
    <row r="177" spans="1:16" x14ac:dyDescent="0.35">
      <c r="A177" s="14" t="s">
        <v>307</v>
      </c>
      <c r="B177" s="15">
        <v>41792</v>
      </c>
      <c r="C177" s="14" t="s">
        <v>53</v>
      </c>
      <c r="D177" s="14" t="s">
        <v>64</v>
      </c>
      <c r="E177" s="14" t="s">
        <v>139</v>
      </c>
      <c r="F177" s="14" t="s">
        <v>128</v>
      </c>
      <c r="G177" s="14" t="s">
        <v>54</v>
      </c>
      <c r="H177" s="14">
        <v>1</v>
      </c>
      <c r="I177" s="16">
        <v>118.33</v>
      </c>
      <c r="J177" s="16">
        <v>40</v>
      </c>
      <c r="K177" s="16">
        <v>118.33</v>
      </c>
      <c r="L177" s="16">
        <v>78.33</v>
      </c>
      <c r="M177" s="14">
        <v>2014</v>
      </c>
      <c r="N177" s="14">
        <v>6</v>
      </c>
      <c r="O177" s="14" t="s">
        <v>75</v>
      </c>
      <c r="P177" s="14" t="s">
        <v>88</v>
      </c>
    </row>
    <row r="178" spans="1:16" x14ac:dyDescent="0.35">
      <c r="A178" s="14" t="s">
        <v>308</v>
      </c>
      <c r="B178" s="15">
        <v>41792</v>
      </c>
      <c r="C178" s="14" t="s">
        <v>55</v>
      </c>
      <c r="D178" s="14" t="s">
        <v>63</v>
      </c>
      <c r="E178" s="14" t="s">
        <v>100</v>
      </c>
      <c r="F178" s="14" t="s">
        <v>132</v>
      </c>
      <c r="G178" s="14" t="s">
        <v>56</v>
      </c>
      <c r="H178" s="14">
        <v>2</v>
      </c>
      <c r="I178" s="16">
        <v>54.35</v>
      </c>
      <c r="J178" s="16">
        <v>15</v>
      </c>
      <c r="K178" s="16">
        <v>108.7</v>
      </c>
      <c r="L178" s="16">
        <v>78.7</v>
      </c>
      <c r="M178" s="14">
        <v>2014</v>
      </c>
      <c r="N178" s="14">
        <v>6</v>
      </c>
      <c r="O178" s="14" t="s">
        <v>75</v>
      </c>
      <c r="P178" s="14" t="s">
        <v>88</v>
      </c>
    </row>
    <row r="179" spans="1:16" x14ac:dyDescent="0.35">
      <c r="A179" s="14" t="s">
        <v>309</v>
      </c>
      <c r="B179" s="15">
        <v>41793</v>
      </c>
      <c r="C179" s="14" t="s">
        <v>53</v>
      </c>
      <c r="D179" s="14" t="s">
        <v>64</v>
      </c>
      <c r="E179" s="14" t="s">
        <v>146</v>
      </c>
      <c r="F179" s="14" t="s">
        <v>132</v>
      </c>
      <c r="G179" s="14" t="s">
        <v>56</v>
      </c>
      <c r="H179" s="14">
        <v>3</v>
      </c>
      <c r="I179" s="16">
        <v>52.94</v>
      </c>
      <c r="J179" s="16">
        <v>15</v>
      </c>
      <c r="K179" s="16">
        <v>158.82</v>
      </c>
      <c r="L179" s="16">
        <v>113.82</v>
      </c>
      <c r="M179" s="14">
        <v>2014</v>
      </c>
      <c r="N179" s="14">
        <v>6</v>
      </c>
      <c r="O179" s="14" t="s">
        <v>75</v>
      </c>
      <c r="P179" s="14" t="s">
        <v>88</v>
      </c>
    </row>
    <row r="180" spans="1:16" x14ac:dyDescent="0.35">
      <c r="A180" s="14" t="s">
        <v>310</v>
      </c>
      <c r="B180" s="15">
        <v>41793</v>
      </c>
      <c r="C180" s="14" t="s">
        <v>57</v>
      </c>
      <c r="D180" s="14" t="s">
        <v>66</v>
      </c>
      <c r="E180" s="14" t="s">
        <v>100</v>
      </c>
      <c r="F180" s="14" t="s">
        <v>125</v>
      </c>
      <c r="G180" s="14" t="s">
        <v>56</v>
      </c>
      <c r="H180" s="14">
        <v>2</v>
      </c>
      <c r="I180" s="16">
        <v>216</v>
      </c>
      <c r="J180" s="16">
        <v>70</v>
      </c>
      <c r="K180" s="16">
        <v>432</v>
      </c>
      <c r="L180" s="16">
        <v>292</v>
      </c>
      <c r="M180" s="14">
        <v>2014</v>
      </c>
      <c r="N180" s="14">
        <v>6</v>
      </c>
      <c r="O180" s="14" t="s">
        <v>75</v>
      </c>
      <c r="P180" s="14" t="s">
        <v>88</v>
      </c>
    </row>
    <row r="181" spans="1:16" x14ac:dyDescent="0.35">
      <c r="A181" s="14" t="s">
        <v>311</v>
      </c>
      <c r="B181" s="15">
        <v>41793</v>
      </c>
      <c r="C181" s="14" t="s">
        <v>57</v>
      </c>
      <c r="D181" s="14" t="s">
        <v>66</v>
      </c>
      <c r="E181" s="14" t="s">
        <v>153</v>
      </c>
      <c r="F181" s="14" t="s">
        <v>125</v>
      </c>
      <c r="G181" s="14" t="s">
        <v>56</v>
      </c>
      <c r="H181" s="14">
        <v>2</v>
      </c>
      <c r="I181" s="16">
        <v>208.23</v>
      </c>
      <c r="J181" s="16">
        <v>70</v>
      </c>
      <c r="K181" s="16">
        <v>416.46</v>
      </c>
      <c r="L181" s="16">
        <v>276.45999999999998</v>
      </c>
      <c r="M181" s="14">
        <v>2014</v>
      </c>
      <c r="N181" s="14">
        <v>6</v>
      </c>
      <c r="O181" s="14" t="s">
        <v>75</v>
      </c>
      <c r="P181" s="14" t="s">
        <v>88</v>
      </c>
    </row>
    <row r="182" spans="1:16" x14ac:dyDescent="0.35">
      <c r="A182" s="14" t="s">
        <v>312</v>
      </c>
      <c r="B182" s="15">
        <v>41794</v>
      </c>
      <c r="C182" s="14" t="s">
        <v>59</v>
      </c>
      <c r="D182" s="14" t="s">
        <v>68</v>
      </c>
      <c r="E182" s="14" t="s">
        <v>91</v>
      </c>
      <c r="F182" s="14" t="s">
        <v>125</v>
      </c>
      <c r="G182" s="14" t="s">
        <v>56</v>
      </c>
      <c r="H182" s="14">
        <v>1</v>
      </c>
      <c r="I182" s="16">
        <v>216.92</v>
      </c>
      <c r="J182" s="16">
        <v>70</v>
      </c>
      <c r="K182" s="16">
        <v>216.92</v>
      </c>
      <c r="L182" s="16">
        <v>146.91999999999999</v>
      </c>
      <c r="M182" s="14">
        <v>2014</v>
      </c>
      <c r="N182" s="14">
        <v>6</v>
      </c>
      <c r="O182" s="14" t="s">
        <v>75</v>
      </c>
      <c r="P182" s="14" t="s">
        <v>88</v>
      </c>
    </row>
    <row r="183" spans="1:16" x14ac:dyDescent="0.35">
      <c r="A183" s="14" t="s">
        <v>313</v>
      </c>
      <c r="B183" s="15">
        <v>41794</v>
      </c>
      <c r="C183" s="14" t="s">
        <v>57</v>
      </c>
      <c r="D183" s="14" t="s">
        <v>62</v>
      </c>
      <c r="E183" s="14" t="s">
        <v>153</v>
      </c>
      <c r="F183" s="14" t="s">
        <v>128</v>
      </c>
      <c r="G183" s="14" t="s">
        <v>54</v>
      </c>
      <c r="H183" s="14">
        <v>1</v>
      </c>
      <c r="I183" s="16">
        <v>124.02</v>
      </c>
      <c r="J183" s="16">
        <v>40</v>
      </c>
      <c r="K183" s="16">
        <v>124.02</v>
      </c>
      <c r="L183" s="16">
        <v>84.02</v>
      </c>
      <c r="M183" s="14">
        <v>2014</v>
      </c>
      <c r="N183" s="14">
        <v>6</v>
      </c>
      <c r="O183" s="14" t="s">
        <v>75</v>
      </c>
      <c r="P183" s="14" t="s">
        <v>88</v>
      </c>
    </row>
    <row r="184" spans="1:16" x14ac:dyDescent="0.35">
      <c r="A184" s="14" t="s">
        <v>314</v>
      </c>
      <c r="B184" s="15">
        <v>41795</v>
      </c>
      <c r="C184" s="14" t="s">
        <v>59</v>
      </c>
      <c r="D184" s="14" t="s">
        <v>68</v>
      </c>
      <c r="E184" s="14" t="s">
        <v>100</v>
      </c>
      <c r="F184" s="14" t="s">
        <v>125</v>
      </c>
      <c r="G184" s="14" t="s">
        <v>56</v>
      </c>
      <c r="H184" s="14">
        <v>2</v>
      </c>
      <c r="I184" s="16">
        <v>205.64</v>
      </c>
      <c r="J184" s="16">
        <v>70</v>
      </c>
      <c r="K184" s="16">
        <v>411.28</v>
      </c>
      <c r="L184" s="16">
        <v>271.27999999999997</v>
      </c>
      <c r="M184" s="14">
        <v>2014</v>
      </c>
      <c r="N184" s="14">
        <v>6</v>
      </c>
      <c r="O184" s="14" t="s">
        <v>75</v>
      </c>
      <c r="P184" s="14" t="s">
        <v>88</v>
      </c>
    </row>
    <row r="185" spans="1:16" x14ac:dyDescent="0.35">
      <c r="A185" s="14" t="s">
        <v>315</v>
      </c>
      <c r="B185" s="15">
        <v>41797</v>
      </c>
      <c r="C185" s="14" t="s">
        <v>55</v>
      </c>
      <c r="D185" s="14" t="s">
        <v>63</v>
      </c>
      <c r="E185" s="14" t="s">
        <v>164</v>
      </c>
      <c r="F185" s="14" t="s">
        <v>118</v>
      </c>
      <c r="G185" s="14" t="s">
        <v>54</v>
      </c>
      <c r="H185" s="14">
        <v>1</v>
      </c>
      <c r="I185" s="16">
        <v>39.880000000000003</v>
      </c>
      <c r="J185" s="16">
        <v>12</v>
      </c>
      <c r="K185" s="16">
        <v>39.880000000000003</v>
      </c>
      <c r="L185" s="16">
        <v>27.88</v>
      </c>
      <c r="M185" s="14">
        <v>2014</v>
      </c>
      <c r="N185" s="14">
        <v>6</v>
      </c>
      <c r="O185" s="14" t="s">
        <v>75</v>
      </c>
      <c r="P185" s="14" t="s">
        <v>88</v>
      </c>
    </row>
    <row r="186" spans="1:16" x14ac:dyDescent="0.35">
      <c r="A186" s="14" t="s">
        <v>316</v>
      </c>
      <c r="B186" s="15">
        <v>41797</v>
      </c>
      <c r="C186" s="14" t="s">
        <v>59</v>
      </c>
      <c r="D186" s="14" t="s">
        <v>68</v>
      </c>
      <c r="E186" s="14" t="s">
        <v>153</v>
      </c>
      <c r="F186" s="14" t="s">
        <v>142</v>
      </c>
      <c r="G186" s="14" t="s">
        <v>58</v>
      </c>
      <c r="H186" s="14">
        <v>1</v>
      </c>
      <c r="I186" s="16">
        <v>16.95</v>
      </c>
      <c r="J186" s="16">
        <v>4</v>
      </c>
      <c r="K186" s="16">
        <v>16.95</v>
      </c>
      <c r="L186" s="16">
        <v>12.95</v>
      </c>
      <c r="M186" s="14">
        <v>2014</v>
      </c>
      <c r="N186" s="14">
        <v>6</v>
      </c>
      <c r="O186" s="14" t="s">
        <v>75</v>
      </c>
      <c r="P186" s="14" t="s">
        <v>88</v>
      </c>
    </row>
    <row r="187" spans="1:16" x14ac:dyDescent="0.35">
      <c r="A187" s="14" t="s">
        <v>317</v>
      </c>
      <c r="B187" s="15">
        <v>41798</v>
      </c>
      <c r="C187" s="14" t="s">
        <v>59</v>
      </c>
      <c r="D187" s="14" t="s">
        <v>68</v>
      </c>
      <c r="E187" s="14" t="s">
        <v>100</v>
      </c>
      <c r="F187" s="14" t="s">
        <v>128</v>
      </c>
      <c r="G187" s="14" t="s">
        <v>54</v>
      </c>
      <c r="H187" s="14">
        <v>1</v>
      </c>
      <c r="I187" s="16">
        <v>123.19</v>
      </c>
      <c r="J187" s="16">
        <v>40</v>
      </c>
      <c r="K187" s="16">
        <v>123.19</v>
      </c>
      <c r="L187" s="16">
        <v>83.19</v>
      </c>
      <c r="M187" s="14">
        <v>2014</v>
      </c>
      <c r="N187" s="14">
        <v>6</v>
      </c>
      <c r="O187" s="14" t="s">
        <v>75</v>
      </c>
      <c r="P187" s="14" t="s">
        <v>88</v>
      </c>
    </row>
    <row r="188" spans="1:16" x14ac:dyDescent="0.35">
      <c r="A188" s="14" t="s">
        <v>318</v>
      </c>
      <c r="B188" s="15">
        <v>41798</v>
      </c>
      <c r="C188" s="14" t="s">
        <v>59</v>
      </c>
      <c r="D188" s="14" t="s">
        <v>61</v>
      </c>
      <c r="E188" s="14" t="s">
        <v>164</v>
      </c>
      <c r="F188" s="14" t="s">
        <v>140</v>
      </c>
      <c r="G188" s="14" t="s">
        <v>56</v>
      </c>
      <c r="H188" s="14">
        <v>1</v>
      </c>
      <c r="I188" s="16">
        <v>247.98</v>
      </c>
      <c r="J188" s="16">
        <v>95</v>
      </c>
      <c r="K188" s="16">
        <v>247.98</v>
      </c>
      <c r="L188" s="16">
        <v>152.97999999999999</v>
      </c>
      <c r="M188" s="14">
        <v>2014</v>
      </c>
      <c r="N188" s="14">
        <v>6</v>
      </c>
      <c r="O188" s="14" t="s">
        <v>75</v>
      </c>
      <c r="P188" s="14" t="s">
        <v>88</v>
      </c>
    </row>
    <row r="189" spans="1:16" x14ac:dyDescent="0.35">
      <c r="A189" s="14" t="s">
        <v>319</v>
      </c>
      <c r="B189" s="15">
        <v>41801</v>
      </c>
      <c r="C189" s="14" t="s">
        <v>53</v>
      </c>
      <c r="D189" s="14" t="s">
        <v>67</v>
      </c>
      <c r="E189" s="14" t="s">
        <v>98</v>
      </c>
      <c r="F189" s="14" t="s">
        <v>115</v>
      </c>
      <c r="G189" s="14" t="s">
        <v>56</v>
      </c>
      <c r="H189" s="14">
        <v>3</v>
      </c>
      <c r="I189" s="16">
        <v>619.04</v>
      </c>
      <c r="J189" s="16">
        <v>220</v>
      </c>
      <c r="K189" s="16">
        <v>1857.12</v>
      </c>
      <c r="L189" s="16">
        <v>1197.1199999999999</v>
      </c>
      <c r="M189" s="14">
        <v>2014</v>
      </c>
      <c r="N189" s="14">
        <v>6</v>
      </c>
      <c r="O189" s="14" t="s">
        <v>75</v>
      </c>
      <c r="P189" s="14" t="s">
        <v>90</v>
      </c>
    </row>
    <row r="190" spans="1:16" x14ac:dyDescent="0.35">
      <c r="A190" s="14" t="s">
        <v>320</v>
      </c>
      <c r="B190" s="15">
        <v>41801</v>
      </c>
      <c r="C190" s="14" t="s">
        <v>59</v>
      </c>
      <c r="D190" s="14" t="s">
        <v>68</v>
      </c>
      <c r="E190" s="14" t="s">
        <v>139</v>
      </c>
      <c r="F190" s="14" t="s">
        <v>137</v>
      </c>
      <c r="G190" s="14" t="s">
        <v>54</v>
      </c>
      <c r="H190" s="14">
        <v>1</v>
      </c>
      <c r="I190" s="16">
        <v>434.02</v>
      </c>
      <c r="J190" s="16">
        <v>180</v>
      </c>
      <c r="K190" s="16">
        <v>434.02</v>
      </c>
      <c r="L190" s="16">
        <v>254.02</v>
      </c>
      <c r="M190" s="14">
        <v>2014</v>
      </c>
      <c r="N190" s="14">
        <v>6</v>
      </c>
      <c r="O190" s="14" t="s">
        <v>75</v>
      </c>
      <c r="P190" s="14" t="s">
        <v>88</v>
      </c>
    </row>
    <row r="191" spans="1:16" x14ac:dyDescent="0.35">
      <c r="A191" s="14" t="s">
        <v>321</v>
      </c>
      <c r="B191" s="15">
        <v>41802</v>
      </c>
      <c r="C191" s="14" t="s">
        <v>59</v>
      </c>
      <c r="D191" s="14" t="s">
        <v>61</v>
      </c>
      <c r="E191" s="14" t="s">
        <v>131</v>
      </c>
      <c r="F191" s="14" t="s">
        <v>123</v>
      </c>
      <c r="G191" s="14" t="s">
        <v>54</v>
      </c>
      <c r="H191" s="14">
        <v>2</v>
      </c>
      <c r="I191" s="16">
        <v>93.58</v>
      </c>
      <c r="J191" s="16">
        <v>28</v>
      </c>
      <c r="K191" s="16">
        <v>187.16</v>
      </c>
      <c r="L191" s="16">
        <v>131.16</v>
      </c>
      <c r="M191" s="14">
        <v>2014</v>
      </c>
      <c r="N191" s="14">
        <v>6</v>
      </c>
      <c r="O191" s="14" t="s">
        <v>75</v>
      </c>
      <c r="P191" s="14" t="s">
        <v>88</v>
      </c>
    </row>
    <row r="192" spans="1:16" x14ac:dyDescent="0.35">
      <c r="A192" s="14" t="s">
        <v>322</v>
      </c>
      <c r="B192" s="15">
        <v>41803</v>
      </c>
      <c r="C192" s="14" t="s">
        <v>55</v>
      </c>
      <c r="D192" s="14" t="s">
        <v>62</v>
      </c>
      <c r="E192" s="14" t="s">
        <v>87</v>
      </c>
      <c r="F192" s="14" t="s">
        <v>115</v>
      </c>
      <c r="G192" s="14" t="s">
        <v>56</v>
      </c>
      <c r="H192" s="14">
        <v>3</v>
      </c>
      <c r="I192" s="16">
        <v>579.74</v>
      </c>
      <c r="J192" s="16">
        <v>220</v>
      </c>
      <c r="K192" s="16">
        <v>1739.22</v>
      </c>
      <c r="L192" s="16">
        <v>1079.22</v>
      </c>
      <c r="M192" s="14">
        <v>2014</v>
      </c>
      <c r="N192" s="14">
        <v>6</v>
      </c>
      <c r="O192" s="14" t="s">
        <v>75</v>
      </c>
      <c r="P192" s="14" t="s">
        <v>90</v>
      </c>
    </row>
    <row r="193" spans="1:16" x14ac:dyDescent="0.35">
      <c r="A193" s="14" t="s">
        <v>323</v>
      </c>
      <c r="B193" s="15">
        <v>41803</v>
      </c>
      <c r="C193" s="14" t="s">
        <v>55</v>
      </c>
      <c r="D193" s="14" t="s">
        <v>65</v>
      </c>
      <c r="E193" s="14" t="s">
        <v>87</v>
      </c>
      <c r="F193" s="14" t="s">
        <v>140</v>
      </c>
      <c r="G193" s="14" t="s">
        <v>56</v>
      </c>
      <c r="H193" s="14">
        <v>2</v>
      </c>
      <c r="I193" s="16">
        <v>248.04</v>
      </c>
      <c r="J193" s="16">
        <v>95</v>
      </c>
      <c r="K193" s="16">
        <v>496.08</v>
      </c>
      <c r="L193" s="16">
        <v>306.08</v>
      </c>
      <c r="M193" s="14">
        <v>2014</v>
      </c>
      <c r="N193" s="14">
        <v>6</v>
      </c>
      <c r="O193" s="14" t="s">
        <v>75</v>
      </c>
      <c r="P193" s="14" t="s">
        <v>88</v>
      </c>
    </row>
    <row r="194" spans="1:16" x14ac:dyDescent="0.35">
      <c r="A194" s="14" t="s">
        <v>324</v>
      </c>
      <c r="B194" s="15">
        <v>41804</v>
      </c>
      <c r="C194" s="14" t="s">
        <v>57</v>
      </c>
      <c r="D194" s="14" t="s">
        <v>61</v>
      </c>
      <c r="E194" s="14" t="s">
        <v>98</v>
      </c>
      <c r="F194" s="14" t="s">
        <v>123</v>
      </c>
      <c r="G194" s="14" t="s">
        <v>54</v>
      </c>
      <c r="H194" s="14">
        <v>2</v>
      </c>
      <c r="I194" s="16">
        <v>91.52</v>
      </c>
      <c r="J194" s="16">
        <v>28</v>
      </c>
      <c r="K194" s="16">
        <v>183.04</v>
      </c>
      <c r="L194" s="16">
        <v>127.04</v>
      </c>
      <c r="M194" s="14">
        <v>2014</v>
      </c>
      <c r="N194" s="14">
        <v>6</v>
      </c>
      <c r="O194" s="14" t="s">
        <v>75</v>
      </c>
      <c r="P194" s="14" t="s">
        <v>88</v>
      </c>
    </row>
    <row r="195" spans="1:16" x14ac:dyDescent="0.35">
      <c r="A195" s="14" t="s">
        <v>325</v>
      </c>
      <c r="B195" s="15">
        <v>41804</v>
      </c>
      <c r="C195" s="14" t="s">
        <v>55</v>
      </c>
      <c r="D195" s="14" t="s">
        <v>65</v>
      </c>
      <c r="E195" s="14" t="s">
        <v>150</v>
      </c>
      <c r="F195" s="14" t="s">
        <v>125</v>
      </c>
      <c r="G195" s="14" t="s">
        <v>56</v>
      </c>
      <c r="H195" s="14">
        <v>1</v>
      </c>
      <c r="I195" s="16">
        <v>210.37</v>
      </c>
      <c r="J195" s="16">
        <v>70</v>
      </c>
      <c r="K195" s="16">
        <v>210.37</v>
      </c>
      <c r="L195" s="16">
        <v>140.37</v>
      </c>
      <c r="M195" s="14">
        <v>2014</v>
      </c>
      <c r="N195" s="14">
        <v>6</v>
      </c>
      <c r="O195" s="14" t="s">
        <v>75</v>
      </c>
      <c r="P195" s="14" t="s">
        <v>88</v>
      </c>
    </row>
    <row r="196" spans="1:16" x14ac:dyDescent="0.35">
      <c r="A196" s="14" t="s">
        <v>326</v>
      </c>
      <c r="B196" s="15">
        <v>41804</v>
      </c>
      <c r="C196" s="14" t="s">
        <v>55</v>
      </c>
      <c r="D196" s="14" t="s">
        <v>65</v>
      </c>
      <c r="E196" s="14" t="s">
        <v>150</v>
      </c>
      <c r="F196" s="14" t="s">
        <v>132</v>
      </c>
      <c r="G196" s="14" t="s">
        <v>56</v>
      </c>
      <c r="H196" s="14">
        <v>5</v>
      </c>
      <c r="I196" s="16">
        <v>51.55</v>
      </c>
      <c r="J196" s="16">
        <v>15</v>
      </c>
      <c r="K196" s="16">
        <v>257.75</v>
      </c>
      <c r="L196" s="16">
        <v>182.75</v>
      </c>
      <c r="M196" s="14">
        <v>2014</v>
      </c>
      <c r="N196" s="14">
        <v>6</v>
      </c>
      <c r="O196" s="14" t="s">
        <v>75</v>
      </c>
      <c r="P196" s="14" t="s">
        <v>88</v>
      </c>
    </row>
    <row r="197" spans="1:16" x14ac:dyDescent="0.35">
      <c r="A197" s="14" t="s">
        <v>327</v>
      </c>
      <c r="B197" s="15">
        <v>41806</v>
      </c>
      <c r="C197" s="14" t="s">
        <v>53</v>
      </c>
      <c r="D197" s="14" t="s">
        <v>64</v>
      </c>
      <c r="E197" s="14" t="s">
        <v>139</v>
      </c>
      <c r="F197" s="14" t="s">
        <v>142</v>
      </c>
      <c r="G197" s="14" t="s">
        <v>58</v>
      </c>
      <c r="H197" s="14">
        <v>1</v>
      </c>
      <c r="I197" s="16">
        <v>16.899999999999999</v>
      </c>
      <c r="J197" s="16">
        <v>4</v>
      </c>
      <c r="K197" s="16">
        <v>16.899999999999999</v>
      </c>
      <c r="L197" s="16">
        <v>12.9</v>
      </c>
      <c r="M197" s="14">
        <v>2014</v>
      </c>
      <c r="N197" s="14">
        <v>6</v>
      </c>
      <c r="O197" s="14" t="s">
        <v>75</v>
      </c>
      <c r="P197" s="14" t="s">
        <v>88</v>
      </c>
    </row>
    <row r="198" spans="1:16" x14ac:dyDescent="0.35">
      <c r="A198" s="14" t="s">
        <v>328</v>
      </c>
      <c r="B198" s="15">
        <v>41807</v>
      </c>
      <c r="C198" s="14" t="s">
        <v>55</v>
      </c>
      <c r="D198" s="14" t="s">
        <v>61</v>
      </c>
      <c r="E198" s="14" t="s">
        <v>146</v>
      </c>
      <c r="F198" s="14" t="s">
        <v>132</v>
      </c>
      <c r="G198" s="14" t="s">
        <v>56</v>
      </c>
      <c r="H198" s="14">
        <v>2</v>
      </c>
      <c r="I198" s="16">
        <v>53.58</v>
      </c>
      <c r="J198" s="16">
        <v>15</v>
      </c>
      <c r="K198" s="16">
        <v>107.16</v>
      </c>
      <c r="L198" s="16">
        <v>77.16</v>
      </c>
      <c r="M198" s="14">
        <v>2014</v>
      </c>
      <c r="N198" s="14">
        <v>6</v>
      </c>
      <c r="O198" s="14" t="s">
        <v>75</v>
      </c>
      <c r="P198" s="14" t="s">
        <v>88</v>
      </c>
    </row>
    <row r="199" spans="1:16" x14ac:dyDescent="0.35">
      <c r="A199" s="14" t="s">
        <v>329</v>
      </c>
      <c r="B199" s="15">
        <v>41808</v>
      </c>
      <c r="C199" s="14" t="s">
        <v>57</v>
      </c>
      <c r="D199" s="14" t="s">
        <v>66</v>
      </c>
      <c r="E199" s="14" t="s">
        <v>98</v>
      </c>
      <c r="F199" s="14" t="s">
        <v>142</v>
      </c>
      <c r="G199" s="14" t="s">
        <v>58</v>
      </c>
      <c r="H199" s="14">
        <v>4</v>
      </c>
      <c r="I199" s="16">
        <v>16.190000000000001</v>
      </c>
      <c r="J199" s="16">
        <v>4</v>
      </c>
      <c r="K199" s="16">
        <v>64.760000000000005</v>
      </c>
      <c r="L199" s="16">
        <v>48.76</v>
      </c>
      <c r="M199" s="14">
        <v>2014</v>
      </c>
      <c r="N199" s="14">
        <v>6</v>
      </c>
      <c r="O199" s="14" t="s">
        <v>75</v>
      </c>
      <c r="P199" s="14" t="s">
        <v>88</v>
      </c>
    </row>
    <row r="200" spans="1:16" x14ac:dyDescent="0.35">
      <c r="A200" s="14" t="s">
        <v>330</v>
      </c>
      <c r="B200" s="15">
        <v>41809</v>
      </c>
      <c r="C200" s="14" t="s">
        <v>53</v>
      </c>
      <c r="D200" s="14" t="s">
        <v>68</v>
      </c>
      <c r="E200" s="14" t="s">
        <v>144</v>
      </c>
      <c r="F200" s="14" t="s">
        <v>156</v>
      </c>
      <c r="G200" s="14" t="s">
        <v>54</v>
      </c>
      <c r="H200" s="14">
        <v>2</v>
      </c>
      <c r="I200" s="16">
        <v>66.27</v>
      </c>
      <c r="J200" s="16">
        <v>18</v>
      </c>
      <c r="K200" s="16">
        <v>132.54</v>
      </c>
      <c r="L200" s="16">
        <v>96.54</v>
      </c>
      <c r="M200" s="14">
        <v>2014</v>
      </c>
      <c r="N200" s="14">
        <v>6</v>
      </c>
      <c r="O200" s="14" t="s">
        <v>75</v>
      </c>
      <c r="P200" s="14" t="s">
        <v>88</v>
      </c>
    </row>
    <row r="201" spans="1:16" x14ac:dyDescent="0.35">
      <c r="A201" s="14" t="s">
        <v>331</v>
      </c>
      <c r="B201" s="15">
        <v>41809</v>
      </c>
      <c r="C201" s="14" t="s">
        <v>57</v>
      </c>
      <c r="D201" s="14" t="s">
        <v>66</v>
      </c>
      <c r="E201" s="14" t="s">
        <v>144</v>
      </c>
      <c r="F201" s="14" t="s">
        <v>128</v>
      </c>
      <c r="G201" s="14" t="s">
        <v>54</v>
      </c>
      <c r="H201" s="14">
        <v>4</v>
      </c>
      <c r="I201" s="16">
        <v>119.8</v>
      </c>
      <c r="J201" s="16">
        <v>40</v>
      </c>
      <c r="K201" s="16">
        <v>479.2</v>
      </c>
      <c r="L201" s="16">
        <v>319.2</v>
      </c>
      <c r="M201" s="14">
        <v>2014</v>
      </c>
      <c r="N201" s="14">
        <v>6</v>
      </c>
      <c r="O201" s="14" t="s">
        <v>75</v>
      </c>
      <c r="P201" s="14" t="s">
        <v>88</v>
      </c>
    </row>
    <row r="202" spans="1:16" x14ac:dyDescent="0.35">
      <c r="A202" s="14" t="s">
        <v>332</v>
      </c>
      <c r="B202" s="15">
        <v>41810</v>
      </c>
      <c r="C202" s="14" t="s">
        <v>57</v>
      </c>
      <c r="D202" s="14" t="s">
        <v>62</v>
      </c>
      <c r="E202" s="14" t="s">
        <v>150</v>
      </c>
      <c r="F202" s="14" t="s">
        <v>137</v>
      </c>
      <c r="G202" s="14" t="s">
        <v>54</v>
      </c>
      <c r="H202" s="14">
        <v>1</v>
      </c>
      <c r="I202" s="16">
        <v>451.08</v>
      </c>
      <c r="J202" s="16">
        <v>180</v>
      </c>
      <c r="K202" s="16">
        <v>451.08</v>
      </c>
      <c r="L202" s="16">
        <v>271.08</v>
      </c>
      <c r="M202" s="14">
        <v>2014</v>
      </c>
      <c r="N202" s="14">
        <v>6</v>
      </c>
      <c r="O202" s="14" t="s">
        <v>75</v>
      </c>
      <c r="P202" s="14" t="s">
        <v>88</v>
      </c>
    </row>
    <row r="203" spans="1:16" x14ac:dyDescent="0.35">
      <c r="A203" s="14" t="s">
        <v>333</v>
      </c>
      <c r="B203" s="15">
        <v>41810</v>
      </c>
      <c r="C203" s="14" t="s">
        <v>59</v>
      </c>
      <c r="D203" s="14" t="s">
        <v>68</v>
      </c>
      <c r="E203" s="14" t="s">
        <v>146</v>
      </c>
      <c r="F203" s="14" t="s">
        <v>128</v>
      </c>
      <c r="G203" s="14" t="s">
        <v>54</v>
      </c>
      <c r="H203" s="14">
        <v>1</v>
      </c>
      <c r="I203" s="16">
        <v>123.94</v>
      </c>
      <c r="J203" s="16">
        <v>40</v>
      </c>
      <c r="K203" s="16">
        <v>123.94</v>
      </c>
      <c r="L203" s="16">
        <v>83.94</v>
      </c>
      <c r="M203" s="14">
        <v>2014</v>
      </c>
      <c r="N203" s="14">
        <v>6</v>
      </c>
      <c r="O203" s="14" t="s">
        <v>75</v>
      </c>
      <c r="P203" s="14" t="s">
        <v>88</v>
      </c>
    </row>
    <row r="204" spans="1:16" x14ac:dyDescent="0.35">
      <c r="A204" s="14" t="s">
        <v>334</v>
      </c>
      <c r="B204" s="15">
        <v>41811</v>
      </c>
      <c r="C204" s="14" t="s">
        <v>57</v>
      </c>
      <c r="D204" s="14" t="s">
        <v>62</v>
      </c>
      <c r="E204" s="14" t="s">
        <v>100</v>
      </c>
      <c r="F204" s="14" t="s">
        <v>132</v>
      </c>
      <c r="G204" s="14" t="s">
        <v>56</v>
      </c>
      <c r="H204" s="14">
        <v>1</v>
      </c>
      <c r="I204" s="16">
        <v>53.83</v>
      </c>
      <c r="J204" s="16">
        <v>15</v>
      </c>
      <c r="K204" s="16">
        <v>53.83</v>
      </c>
      <c r="L204" s="16">
        <v>38.83</v>
      </c>
      <c r="M204" s="14">
        <v>2014</v>
      </c>
      <c r="N204" s="14">
        <v>6</v>
      </c>
      <c r="O204" s="14" t="s">
        <v>75</v>
      </c>
      <c r="P204" s="14" t="s">
        <v>88</v>
      </c>
    </row>
    <row r="205" spans="1:16" x14ac:dyDescent="0.35">
      <c r="A205" s="14" t="s">
        <v>335</v>
      </c>
      <c r="B205" s="15">
        <v>41811</v>
      </c>
      <c r="C205" s="14" t="s">
        <v>53</v>
      </c>
      <c r="D205" s="14" t="s">
        <v>67</v>
      </c>
      <c r="E205" s="14" t="s">
        <v>87</v>
      </c>
      <c r="F205" s="14" t="s">
        <v>142</v>
      </c>
      <c r="G205" s="14" t="s">
        <v>58</v>
      </c>
      <c r="H205" s="14">
        <v>1</v>
      </c>
      <c r="I205" s="16">
        <v>16.93</v>
      </c>
      <c r="J205" s="16">
        <v>4</v>
      </c>
      <c r="K205" s="16">
        <v>16.93</v>
      </c>
      <c r="L205" s="16">
        <v>12.93</v>
      </c>
      <c r="M205" s="14">
        <v>2014</v>
      </c>
      <c r="N205" s="14">
        <v>6</v>
      </c>
      <c r="O205" s="14" t="s">
        <v>75</v>
      </c>
      <c r="P205" s="14" t="s">
        <v>88</v>
      </c>
    </row>
    <row r="206" spans="1:16" x14ac:dyDescent="0.35">
      <c r="A206" s="14" t="s">
        <v>336</v>
      </c>
      <c r="B206" s="15">
        <v>41812</v>
      </c>
      <c r="C206" s="14" t="s">
        <v>53</v>
      </c>
      <c r="D206" s="14" t="s">
        <v>64</v>
      </c>
      <c r="E206" s="14" t="s">
        <v>134</v>
      </c>
      <c r="F206" s="14" t="s">
        <v>128</v>
      </c>
      <c r="G206" s="14" t="s">
        <v>54</v>
      </c>
      <c r="H206" s="14">
        <v>2</v>
      </c>
      <c r="I206" s="16">
        <v>122.95</v>
      </c>
      <c r="J206" s="16">
        <v>40</v>
      </c>
      <c r="K206" s="16">
        <v>245.9</v>
      </c>
      <c r="L206" s="16">
        <v>165.9</v>
      </c>
      <c r="M206" s="14">
        <v>2014</v>
      </c>
      <c r="N206" s="14">
        <v>6</v>
      </c>
      <c r="O206" s="14" t="s">
        <v>75</v>
      </c>
      <c r="P206" s="14" t="s">
        <v>88</v>
      </c>
    </row>
    <row r="207" spans="1:16" x14ac:dyDescent="0.35">
      <c r="A207" s="14" t="s">
        <v>337</v>
      </c>
      <c r="B207" s="15">
        <v>41813</v>
      </c>
      <c r="C207" s="14" t="s">
        <v>57</v>
      </c>
      <c r="D207" s="14" t="s">
        <v>62</v>
      </c>
      <c r="E207" s="14" t="s">
        <v>89</v>
      </c>
      <c r="F207" s="14" t="s">
        <v>123</v>
      </c>
      <c r="G207" s="14" t="s">
        <v>54</v>
      </c>
      <c r="H207" s="14">
        <v>1</v>
      </c>
      <c r="I207" s="16">
        <v>96.8</v>
      </c>
      <c r="J207" s="16">
        <v>28</v>
      </c>
      <c r="K207" s="16">
        <v>96.8</v>
      </c>
      <c r="L207" s="16">
        <v>68.8</v>
      </c>
      <c r="M207" s="14">
        <v>2014</v>
      </c>
      <c r="N207" s="14">
        <v>6</v>
      </c>
      <c r="O207" s="14" t="s">
        <v>75</v>
      </c>
      <c r="P207" s="14" t="s">
        <v>88</v>
      </c>
    </row>
    <row r="208" spans="1:16" x14ac:dyDescent="0.35">
      <c r="A208" s="14" t="s">
        <v>338</v>
      </c>
      <c r="B208" s="15">
        <v>41816</v>
      </c>
      <c r="C208" s="14" t="s">
        <v>59</v>
      </c>
      <c r="D208" s="14" t="s">
        <v>61</v>
      </c>
      <c r="E208" s="14" t="s">
        <v>144</v>
      </c>
      <c r="F208" s="14" t="s">
        <v>118</v>
      </c>
      <c r="G208" s="14" t="s">
        <v>54</v>
      </c>
      <c r="H208" s="14">
        <v>1</v>
      </c>
      <c r="I208" s="16">
        <v>38.71</v>
      </c>
      <c r="J208" s="16">
        <v>12</v>
      </c>
      <c r="K208" s="16">
        <v>38.71</v>
      </c>
      <c r="L208" s="16">
        <v>26.71</v>
      </c>
      <c r="M208" s="14">
        <v>2014</v>
      </c>
      <c r="N208" s="14">
        <v>6</v>
      </c>
      <c r="O208" s="14" t="s">
        <v>75</v>
      </c>
      <c r="P208" s="14" t="s">
        <v>88</v>
      </c>
    </row>
    <row r="209" spans="1:16" x14ac:dyDescent="0.35">
      <c r="A209" s="14" t="s">
        <v>339</v>
      </c>
      <c r="B209" s="15">
        <v>41816</v>
      </c>
      <c r="C209" s="14" t="s">
        <v>59</v>
      </c>
      <c r="D209" s="14" t="s">
        <v>64</v>
      </c>
      <c r="E209" s="14" t="s">
        <v>100</v>
      </c>
      <c r="F209" s="14" t="s">
        <v>123</v>
      </c>
      <c r="G209" s="14" t="s">
        <v>54</v>
      </c>
      <c r="H209" s="14">
        <v>1</v>
      </c>
      <c r="I209" s="16">
        <v>89.1</v>
      </c>
      <c r="J209" s="16">
        <v>28</v>
      </c>
      <c r="K209" s="16">
        <v>89.1</v>
      </c>
      <c r="L209" s="16">
        <v>61.1</v>
      </c>
      <c r="M209" s="14">
        <v>2014</v>
      </c>
      <c r="N209" s="14">
        <v>6</v>
      </c>
      <c r="O209" s="14" t="s">
        <v>75</v>
      </c>
      <c r="P209" s="14" t="s">
        <v>88</v>
      </c>
    </row>
    <row r="210" spans="1:16" x14ac:dyDescent="0.35">
      <c r="A210" s="14" t="s">
        <v>340</v>
      </c>
      <c r="B210" s="15">
        <v>41816</v>
      </c>
      <c r="C210" s="14" t="s">
        <v>55</v>
      </c>
      <c r="D210" s="14" t="s">
        <v>65</v>
      </c>
      <c r="E210" s="14" t="s">
        <v>91</v>
      </c>
      <c r="F210" s="14" t="s">
        <v>125</v>
      </c>
      <c r="G210" s="14" t="s">
        <v>56</v>
      </c>
      <c r="H210" s="14">
        <v>1</v>
      </c>
      <c r="I210" s="16">
        <v>207.87</v>
      </c>
      <c r="J210" s="16">
        <v>70</v>
      </c>
      <c r="K210" s="16">
        <v>207.87</v>
      </c>
      <c r="L210" s="16">
        <v>137.87</v>
      </c>
      <c r="M210" s="14">
        <v>2014</v>
      </c>
      <c r="N210" s="14">
        <v>6</v>
      </c>
      <c r="O210" s="14" t="s">
        <v>75</v>
      </c>
      <c r="P210" s="14" t="s">
        <v>88</v>
      </c>
    </row>
    <row r="211" spans="1:16" x14ac:dyDescent="0.35">
      <c r="A211" s="14" t="s">
        <v>341</v>
      </c>
      <c r="B211" s="15">
        <v>41817</v>
      </c>
      <c r="C211" s="14" t="s">
        <v>55</v>
      </c>
      <c r="D211" s="14" t="s">
        <v>63</v>
      </c>
      <c r="E211" s="14" t="s">
        <v>139</v>
      </c>
      <c r="F211" s="14" t="s">
        <v>128</v>
      </c>
      <c r="G211" s="14" t="s">
        <v>54</v>
      </c>
      <c r="H211" s="14">
        <v>1</v>
      </c>
      <c r="I211" s="16">
        <v>124.09</v>
      </c>
      <c r="J211" s="16">
        <v>40</v>
      </c>
      <c r="K211" s="16">
        <v>124.09</v>
      </c>
      <c r="L211" s="16">
        <v>84.09</v>
      </c>
      <c r="M211" s="14">
        <v>2014</v>
      </c>
      <c r="N211" s="14">
        <v>6</v>
      </c>
      <c r="O211" s="14" t="s">
        <v>75</v>
      </c>
      <c r="P211" s="14" t="s">
        <v>88</v>
      </c>
    </row>
    <row r="212" spans="1:16" x14ac:dyDescent="0.35">
      <c r="A212" s="14" t="s">
        <v>342</v>
      </c>
      <c r="B212" s="15">
        <v>41817</v>
      </c>
      <c r="C212" s="14" t="s">
        <v>55</v>
      </c>
      <c r="D212" s="14" t="s">
        <v>67</v>
      </c>
      <c r="E212" s="14" t="s">
        <v>131</v>
      </c>
      <c r="F212" s="14" t="s">
        <v>118</v>
      </c>
      <c r="G212" s="14" t="s">
        <v>54</v>
      </c>
      <c r="H212" s="14">
        <v>1</v>
      </c>
      <c r="I212" s="16">
        <v>40.200000000000003</v>
      </c>
      <c r="J212" s="16">
        <v>12</v>
      </c>
      <c r="K212" s="16">
        <v>40.200000000000003</v>
      </c>
      <c r="L212" s="16">
        <v>28.2</v>
      </c>
      <c r="M212" s="14">
        <v>2014</v>
      </c>
      <c r="N212" s="14">
        <v>6</v>
      </c>
      <c r="O212" s="14" t="s">
        <v>75</v>
      </c>
      <c r="P212" s="14" t="s">
        <v>88</v>
      </c>
    </row>
    <row r="213" spans="1:16" x14ac:dyDescent="0.35">
      <c r="A213" s="14" t="s">
        <v>343</v>
      </c>
      <c r="B213" s="15">
        <v>41818</v>
      </c>
      <c r="C213" s="14" t="s">
        <v>57</v>
      </c>
      <c r="D213" s="14" t="s">
        <v>62</v>
      </c>
      <c r="E213" s="14" t="s">
        <v>100</v>
      </c>
      <c r="F213" s="14" t="s">
        <v>132</v>
      </c>
      <c r="G213" s="14" t="s">
        <v>56</v>
      </c>
      <c r="H213" s="14">
        <v>2</v>
      </c>
      <c r="I213" s="16">
        <v>53.85</v>
      </c>
      <c r="J213" s="16">
        <v>15</v>
      </c>
      <c r="K213" s="16">
        <v>107.7</v>
      </c>
      <c r="L213" s="16">
        <v>77.7</v>
      </c>
      <c r="M213" s="14">
        <v>2014</v>
      </c>
      <c r="N213" s="14">
        <v>6</v>
      </c>
      <c r="O213" s="14" t="s">
        <v>75</v>
      </c>
      <c r="P213" s="14" t="s">
        <v>88</v>
      </c>
    </row>
    <row r="214" spans="1:16" x14ac:dyDescent="0.35">
      <c r="A214" s="14" t="s">
        <v>344</v>
      </c>
      <c r="B214" s="15">
        <v>41819</v>
      </c>
      <c r="C214" s="14" t="s">
        <v>53</v>
      </c>
      <c r="D214" s="14" t="s">
        <v>64</v>
      </c>
      <c r="E214" s="14" t="s">
        <v>131</v>
      </c>
      <c r="F214" s="14" t="s">
        <v>156</v>
      </c>
      <c r="G214" s="14" t="s">
        <v>54</v>
      </c>
      <c r="H214" s="14">
        <v>1</v>
      </c>
      <c r="I214" s="16">
        <v>67.209999999999994</v>
      </c>
      <c r="J214" s="16">
        <v>18</v>
      </c>
      <c r="K214" s="16">
        <v>67.209999999999994</v>
      </c>
      <c r="L214" s="16">
        <v>49.21</v>
      </c>
      <c r="M214" s="14">
        <v>2014</v>
      </c>
      <c r="N214" s="14">
        <v>6</v>
      </c>
      <c r="O214" s="14" t="s">
        <v>75</v>
      </c>
      <c r="P214" s="14" t="s">
        <v>88</v>
      </c>
    </row>
    <row r="215" spans="1:16" x14ac:dyDescent="0.35">
      <c r="A215" s="14" t="s">
        <v>345</v>
      </c>
      <c r="B215" s="15">
        <v>41819</v>
      </c>
      <c r="C215" s="14" t="s">
        <v>57</v>
      </c>
      <c r="D215" s="14" t="s">
        <v>63</v>
      </c>
      <c r="E215" s="14" t="s">
        <v>98</v>
      </c>
      <c r="F215" s="14" t="s">
        <v>132</v>
      </c>
      <c r="G215" s="14" t="s">
        <v>56</v>
      </c>
      <c r="H215" s="14">
        <v>1</v>
      </c>
      <c r="I215" s="16">
        <v>55.18</v>
      </c>
      <c r="J215" s="16">
        <v>15</v>
      </c>
      <c r="K215" s="16">
        <v>55.18</v>
      </c>
      <c r="L215" s="16">
        <v>40.18</v>
      </c>
      <c r="M215" s="14">
        <v>2014</v>
      </c>
      <c r="N215" s="14">
        <v>6</v>
      </c>
      <c r="O215" s="14" t="s">
        <v>75</v>
      </c>
      <c r="P215" s="14" t="s">
        <v>88</v>
      </c>
    </row>
    <row r="216" spans="1:16" x14ac:dyDescent="0.35">
      <c r="A216" s="14" t="s">
        <v>346</v>
      </c>
      <c r="B216" s="15">
        <v>41820</v>
      </c>
      <c r="C216" s="14" t="s">
        <v>53</v>
      </c>
      <c r="D216" s="14" t="s">
        <v>64</v>
      </c>
      <c r="E216" s="14" t="s">
        <v>131</v>
      </c>
      <c r="F216" s="14" t="s">
        <v>132</v>
      </c>
      <c r="G216" s="14" t="s">
        <v>56</v>
      </c>
      <c r="H216" s="14">
        <v>2</v>
      </c>
      <c r="I216" s="16">
        <v>53.89</v>
      </c>
      <c r="J216" s="16">
        <v>15</v>
      </c>
      <c r="K216" s="16">
        <v>107.78</v>
      </c>
      <c r="L216" s="16">
        <v>77.78</v>
      </c>
      <c r="M216" s="14">
        <v>2014</v>
      </c>
      <c r="N216" s="14">
        <v>6</v>
      </c>
      <c r="O216" s="14" t="s">
        <v>75</v>
      </c>
      <c r="P216" s="14" t="s">
        <v>88</v>
      </c>
    </row>
    <row r="217" spans="1:16" x14ac:dyDescent="0.35">
      <c r="A217" s="14" t="s">
        <v>347</v>
      </c>
      <c r="B217" s="15">
        <v>41820</v>
      </c>
      <c r="C217" s="14" t="s">
        <v>59</v>
      </c>
      <c r="D217" s="14" t="s">
        <v>67</v>
      </c>
      <c r="E217" s="14" t="s">
        <v>98</v>
      </c>
      <c r="F217" s="14" t="s">
        <v>128</v>
      </c>
      <c r="G217" s="14" t="s">
        <v>54</v>
      </c>
      <c r="H217" s="14">
        <v>1</v>
      </c>
      <c r="I217" s="16">
        <v>114.24</v>
      </c>
      <c r="J217" s="16">
        <v>40</v>
      </c>
      <c r="K217" s="16">
        <v>114.24</v>
      </c>
      <c r="L217" s="16">
        <v>74.239999999999995</v>
      </c>
      <c r="M217" s="14">
        <v>2014</v>
      </c>
      <c r="N217" s="14">
        <v>6</v>
      </c>
      <c r="O217" s="14" t="s">
        <v>75</v>
      </c>
      <c r="P217" s="14" t="s">
        <v>88</v>
      </c>
    </row>
    <row r="218" spans="1:16" x14ac:dyDescent="0.35">
      <c r="A218" s="14" t="s">
        <v>348</v>
      </c>
      <c r="B218" s="15">
        <v>41820</v>
      </c>
      <c r="C218" s="14" t="s">
        <v>55</v>
      </c>
      <c r="D218" s="14" t="s">
        <v>63</v>
      </c>
      <c r="E218" s="14" t="s">
        <v>131</v>
      </c>
      <c r="F218" s="14" t="s">
        <v>142</v>
      </c>
      <c r="G218" s="14" t="s">
        <v>58</v>
      </c>
      <c r="H218" s="14">
        <v>4</v>
      </c>
      <c r="I218" s="16">
        <v>17.03</v>
      </c>
      <c r="J218" s="16">
        <v>4</v>
      </c>
      <c r="K218" s="16">
        <v>68.12</v>
      </c>
      <c r="L218" s="16">
        <v>52.12</v>
      </c>
      <c r="M218" s="14">
        <v>2014</v>
      </c>
      <c r="N218" s="14">
        <v>6</v>
      </c>
      <c r="O218" s="14" t="s">
        <v>75</v>
      </c>
      <c r="P218" s="14" t="s">
        <v>88</v>
      </c>
    </row>
    <row r="219" spans="1:16" x14ac:dyDescent="0.35">
      <c r="A219" s="14" t="s">
        <v>349</v>
      </c>
      <c r="B219" s="15">
        <v>41821</v>
      </c>
      <c r="C219" s="14" t="s">
        <v>53</v>
      </c>
      <c r="D219" s="14" t="s">
        <v>64</v>
      </c>
      <c r="E219" s="14" t="s">
        <v>164</v>
      </c>
      <c r="F219" s="14" t="s">
        <v>137</v>
      </c>
      <c r="G219" s="14" t="s">
        <v>54</v>
      </c>
      <c r="H219" s="14">
        <v>5</v>
      </c>
      <c r="I219" s="16">
        <v>278.5</v>
      </c>
      <c r="J219" s="16">
        <v>180</v>
      </c>
      <c r="K219" s="16">
        <v>1392.5</v>
      </c>
      <c r="L219" s="16">
        <v>492.5</v>
      </c>
      <c r="M219" s="14">
        <v>2014</v>
      </c>
      <c r="N219" s="14">
        <v>7</v>
      </c>
      <c r="O219" s="14" t="s">
        <v>76</v>
      </c>
      <c r="P219" s="14" t="s">
        <v>90</v>
      </c>
    </row>
    <row r="220" spans="1:16" x14ac:dyDescent="0.35">
      <c r="A220" s="14" t="s">
        <v>350</v>
      </c>
      <c r="B220" s="15">
        <v>41823</v>
      </c>
      <c r="C220" s="14" t="s">
        <v>59</v>
      </c>
      <c r="D220" s="14" t="s">
        <v>68</v>
      </c>
      <c r="E220" s="14" t="s">
        <v>89</v>
      </c>
      <c r="F220" s="14" t="s">
        <v>125</v>
      </c>
      <c r="G220" s="14" t="s">
        <v>56</v>
      </c>
      <c r="H220" s="14">
        <v>2</v>
      </c>
      <c r="I220" s="16">
        <v>131.19999999999999</v>
      </c>
      <c r="J220" s="16">
        <v>70</v>
      </c>
      <c r="K220" s="16">
        <v>262.39999999999998</v>
      </c>
      <c r="L220" s="16">
        <v>122.4</v>
      </c>
      <c r="M220" s="14">
        <v>2014</v>
      </c>
      <c r="N220" s="14">
        <v>7</v>
      </c>
      <c r="O220" s="14" t="s">
        <v>76</v>
      </c>
      <c r="P220" s="14" t="s">
        <v>88</v>
      </c>
    </row>
    <row r="221" spans="1:16" x14ac:dyDescent="0.35">
      <c r="A221" s="14" t="s">
        <v>351</v>
      </c>
      <c r="B221" s="15">
        <v>41824</v>
      </c>
      <c r="C221" s="14" t="s">
        <v>57</v>
      </c>
      <c r="D221" s="14" t="s">
        <v>66</v>
      </c>
      <c r="E221" s="14" t="s">
        <v>164</v>
      </c>
      <c r="F221" s="14" t="s">
        <v>118</v>
      </c>
      <c r="G221" s="14" t="s">
        <v>54</v>
      </c>
      <c r="H221" s="14">
        <v>4</v>
      </c>
      <c r="I221" s="16">
        <v>25.61</v>
      </c>
      <c r="J221" s="16">
        <v>12</v>
      </c>
      <c r="K221" s="16">
        <v>102.44</v>
      </c>
      <c r="L221" s="16">
        <v>54.44</v>
      </c>
      <c r="M221" s="14">
        <v>2014</v>
      </c>
      <c r="N221" s="14">
        <v>7</v>
      </c>
      <c r="O221" s="14" t="s">
        <v>76</v>
      </c>
      <c r="P221" s="14" t="s">
        <v>88</v>
      </c>
    </row>
    <row r="222" spans="1:16" x14ac:dyDescent="0.35">
      <c r="A222" s="14" t="s">
        <v>352</v>
      </c>
      <c r="B222" s="15">
        <v>41825</v>
      </c>
      <c r="C222" s="14" t="s">
        <v>59</v>
      </c>
      <c r="D222" s="14" t="s">
        <v>68</v>
      </c>
      <c r="E222" s="14" t="s">
        <v>89</v>
      </c>
      <c r="F222" s="14" t="s">
        <v>123</v>
      </c>
      <c r="G222" s="14" t="s">
        <v>54</v>
      </c>
      <c r="H222" s="14">
        <v>1</v>
      </c>
      <c r="I222" s="16">
        <v>58.36</v>
      </c>
      <c r="J222" s="16">
        <v>28</v>
      </c>
      <c r="K222" s="16">
        <v>58.36</v>
      </c>
      <c r="L222" s="16">
        <v>30.36</v>
      </c>
      <c r="M222" s="14">
        <v>2014</v>
      </c>
      <c r="N222" s="14">
        <v>7</v>
      </c>
      <c r="O222" s="14" t="s">
        <v>76</v>
      </c>
      <c r="P222" s="14" t="s">
        <v>88</v>
      </c>
    </row>
    <row r="223" spans="1:16" x14ac:dyDescent="0.35">
      <c r="A223" s="14" t="s">
        <v>353</v>
      </c>
      <c r="B223" s="15">
        <v>41826</v>
      </c>
      <c r="C223" s="14" t="s">
        <v>59</v>
      </c>
      <c r="D223" s="14" t="s">
        <v>61</v>
      </c>
      <c r="E223" s="14" t="s">
        <v>150</v>
      </c>
      <c r="F223" s="14" t="s">
        <v>123</v>
      </c>
      <c r="G223" s="14" t="s">
        <v>54</v>
      </c>
      <c r="H223" s="14">
        <v>3</v>
      </c>
      <c r="I223" s="16">
        <v>58.29</v>
      </c>
      <c r="J223" s="16">
        <v>28</v>
      </c>
      <c r="K223" s="16">
        <v>174.87</v>
      </c>
      <c r="L223" s="16">
        <v>90.87</v>
      </c>
      <c r="M223" s="14">
        <v>2014</v>
      </c>
      <c r="N223" s="14">
        <v>7</v>
      </c>
      <c r="O223" s="14" t="s">
        <v>76</v>
      </c>
      <c r="P223" s="14" t="s">
        <v>88</v>
      </c>
    </row>
    <row r="224" spans="1:16" x14ac:dyDescent="0.35">
      <c r="A224" s="14" t="s">
        <v>354</v>
      </c>
      <c r="B224" s="15">
        <v>41827</v>
      </c>
      <c r="C224" s="14" t="s">
        <v>59</v>
      </c>
      <c r="D224" s="14" t="s">
        <v>68</v>
      </c>
      <c r="E224" s="14" t="s">
        <v>87</v>
      </c>
      <c r="F224" s="14" t="s">
        <v>140</v>
      </c>
      <c r="G224" s="14" t="s">
        <v>56</v>
      </c>
      <c r="H224" s="14">
        <v>2</v>
      </c>
      <c r="I224" s="16">
        <v>155.74</v>
      </c>
      <c r="J224" s="16">
        <v>95</v>
      </c>
      <c r="K224" s="16">
        <v>311.48</v>
      </c>
      <c r="L224" s="16">
        <v>121.48</v>
      </c>
      <c r="M224" s="14">
        <v>2014</v>
      </c>
      <c r="N224" s="14">
        <v>7</v>
      </c>
      <c r="O224" s="14" t="s">
        <v>76</v>
      </c>
      <c r="P224" s="14" t="s">
        <v>88</v>
      </c>
    </row>
    <row r="225" spans="1:16" x14ac:dyDescent="0.35">
      <c r="A225" s="14" t="s">
        <v>355</v>
      </c>
      <c r="B225" s="15">
        <v>41827</v>
      </c>
      <c r="C225" s="14" t="s">
        <v>59</v>
      </c>
      <c r="D225" s="14" t="s">
        <v>61</v>
      </c>
      <c r="E225" s="14" t="s">
        <v>100</v>
      </c>
      <c r="F225" s="14" t="s">
        <v>132</v>
      </c>
      <c r="G225" s="14" t="s">
        <v>56</v>
      </c>
      <c r="H225" s="14">
        <v>2</v>
      </c>
      <c r="I225" s="16">
        <v>31.64</v>
      </c>
      <c r="J225" s="16">
        <v>15</v>
      </c>
      <c r="K225" s="16">
        <v>63.28</v>
      </c>
      <c r="L225" s="16">
        <v>33.28</v>
      </c>
      <c r="M225" s="14">
        <v>2014</v>
      </c>
      <c r="N225" s="14">
        <v>7</v>
      </c>
      <c r="O225" s="14" t="s">
        <v>76</v>
      </c>
      <c r="P225" s="14" t="s">
        <v>88</v>
      </c>
    </row>
    <row r="226" spans="1:16" x14ac:dyDescent="0.35">
      <c r="A226" s="14" t="s">
        <v>356</v>
      </c>
      <c r="B226" s="15">
        <v>41828</v>
      </c>
      <c r="C226" s="14" t="s">
        <v>59</v>
      </c>
      <c r="D226" s="14" t="s">
        <v>61</v>
      </c>
      <c r="E226" s="14" t="s">
        <v>139</v>
      </c>
      <c r="F226" s="14" t="s">
        <v>118</v>
      </c>
      <c r="G226" s="14" t="s">
        <v>54</v>
      </c>
      <c r="H226" s="14">
        <v>3</v>
      </c>
      <c r="I226" s="16">
        <v>23.82</v>
      </c>
      <c r="J226" s="16">
        <v>12</v>
      </c>
      <c r="K226" s="16">
        <v>71.459999999999994</v>
      </c>
      <c r="L226" s="16">
        <v>35.46</v>
      </c>
      <c r="M226" s="14">
        <v>2014</v>
      </c>
      <c r="N226" s="14">
        <v>7</v>
      </c>
      <c r="O226" s="14" t="s">
        <v>76</v>
      </c>
      <c r="P226" s="14" t="s">
        <v>88</v>
      </c>
    </row>
    <row r="227" spans="1:16" x14ac:dyDescent="0.35">
      <c r="A227" s="14" t="s">
        <v>357</v>
      </c>
      <c r="B227" s="15">
        <v>41828</v>
      </c>
      <c r="C227" s="14" t="s">
        <v>57</v>
      </c>
      <c r="D227" s="14" t="s">
        <v>62</v>
      </c>
      <c r="E227" s="14" t="s">
        <v>98</v>
      </c>
      <c r="F227" s="14" t="s">
        <v>156</v>
      </c>
      <c r="G227" s="14" t="s">
        <v>54</v>
      </c>
      <c r="H227" s="14">
        <v>3</v>
      </c>
      <c r="I227" s="16">
        <v>43.09</v>
      </c>
      <c r="J227" s="16">
        <v>18</v>
      </c>
      <c r="K227" s="16">
        <v>129.27000000000001</v>
      </c>
      <c r="L227" s="16">
        <v>75.27</v>
      </c>
      <c r="M227" s="14">
        <v>2014</v>
      </c>
      <c r="N227" s="14">
        <v>7</v>
      </c>
      <c r="O227" s="14" t="s">
        <v>76</v>
      </c>
      <c r="P227" s="14" t="s">
        <v>88</v>
      </c>
    </row>
    <row r="228" spans="1:16" x14ac:dyDescent="0.35">
      <c r="A228" s="14" t="s">
        <v>358</v>
      </c>
      <c r="B228" s="15">
        <v>41829</v>
      </c>
      <c r="C228" s="14" t="s">
        <v>57</v>
      </c>
      <c r="D228" s="14" t="s">
        <v>62</v>
      </c>
      <c r="E228" s="14" t="s">
        <v>131</v>
      </c>
      <c r="F228" s="14" t="s">
        <v>156</v>
      </c>
      <c r="G228" s="14" t="s">
        <v>54</v>
      </c>
      <c r="H228" s="14">
        <v>1</v>
      </c>
      <c r="I228" s="16">
        <v>41.14</v>
      </c>
      <c r="J228" s="16">
        <v>18</v>
      </c>
      <c r="K228" s="16">
        <v>41.14</v>
      </c>
      <c r="L228" s="16">
        <v>23.14</v>
      </c>
      <c r="M228" s="14">
        <v>2014</v>
      </c>
      <c r="N228" s="14">
        <v>7</v>
      </c>
      <c r="O228" s="14" t="s">
        <v>76</v>
      </c>
      <c r="P228" s="14" t="s">
        <v>88</v>
      </c>
    </row>
    <row r="229" spans="1:16" x14ac:dyDescent="0.35">
      <c r="A229" s="14" t="s">
        <v>359</v>
      </c>
      <c r="B229" s="15">
        <v>41830</v>
      </c>
      <c r="C229" s="14" t="s">
        <v>57</v>
      </c>
      <c r="D229" s="14" t="s">
        <v>62</v>
      </c>
      <c r="E229" s="14" t="s">
        <v>100</v>
      </c>
      <c r="F229" s="14" t="s">
        <v>118</v>
      </c>
      <c r="G229" s="14" t="s">
        <v>54</v>
      </c>
      <c r="H229" s="14">
        <v>1</v>
      </c>
      <c r="I229" s="16">
        <v>25.3</v>
      </c>
      <c r="J229" s="16">
        <v>12</v>
      </c>
      <c r="K229" s="16">
        <v>25.3</v>
      </c>
      <c r="L229" s="16">
        <v>13.3</v>
      </c>
      <c r="M229" s="14">
        <v>2014</v>
      </c>
      <c r="N229" s="14">
        <v>7</v>
      </c>
      <c r="O229" s="14" t="s">
        <v>76</v>
      </c>
      <c r="P229" s="14" t="s">
        <v>88</v>
      </c>
    </row>
    <row r="230" spans="1:16" x14ac:dyDescent="0.35">
      <c r="A230" s="14" t="s">
        <v>360</v>
      </c>
      <c r="B230" s="15">
        <v>41831</v>
      </c>
      <c r="C230" s="14" t="s">
        <v>53</v>
      </c>
      <c r="D230" s="14" t="s">
        <v>67</v>
      </c>
      <c r="E230" s="14" t="s">
        <v>114</v>
      </c>
      <c r="F230" s="14" t="s">
        <v>125</v>
      </c>
      <c r="G230" s="14" t="s">
        <v>56</v>
      </c>
      <c r="H230" s="14">
        <v>1</v>
      </c>
      <c r="I230" s="16">
        <v>137.54</v>
      </c>
      <c r="J230" s="16">
        <v>70</v>
      </c>
      <c r="K230" s="16">
        <v>137.54</v>
      </c>
      <c r="L230" s="16">
        <v>67.540000000000006</v>
      </c>
      <c r="M230" s="14">
        <v>2014</v>
      </c>
      <c r="N230" s="14">
        <v>7</v>
      </c>
      <c r="O230" s="14" t="s">
        <v>76</v>
      </c>
      <c r="P230" s="14" t="s">
        <v>88</v>
      </c>
    </row>
    <row r="231" spans="1:16" x14ac:dyDescent="0.35">
      <c r="A231" s="14" t="s">
        <v>361</v>
      </c>
      <c r="B231" s="15">
        <v>41832</v>
      </c>
      <c r="C231" s="14" t="s">
        <v>59</v>
      </c>
      <c r="D231" s="14" t="s">
        <v>61</v>
      </c>
      <c r="E231" s="14" t="s">
        <v>100</v>
      </c>
      <c r="F231" s="14" t="s">
        <v>118</v>
      </c>
      <c r="G231" s="14" t="s">
        <v>54</v>
      </c>
      <c r="H231" s="14">
        <v>1</v>
      </c>
      <c r="I231" s="16">
        <v>25.85</v>
      </c>
      <c r="J231" s="16">
        <v>12</v>
      </c>
      <c r="K231" s="16">
        <v>25.85</v>
      </c>
      <c r="L231" s="16">
        <v>13.85</v>
      </c>
      <c r="M231" s="14">
        <v>2014</v>
      </c>
      <c r="N231" s="14">
        <v>7</v>
      </c>
      <c r="O231" s="14" t="s">
        <v>76</v>
      </c>
      <c r="P231" s="14" t="s">
        <v>88</v>
      </c>
    </row>
    <row r="232" spans="1:16" x14ac:dyDescent="0.35">
      <c r="A232" s="14" t="s">
        <v>362</v>
      </c>
      <c r="B232" s="15">
        <v>41834</v>
      </c>
      <c r="C232" s="14" t="s">
        <v>57</v>
      </c>
      <c r="D232" s="14" t="s">
        <v>62</v>
      </c>
      <c r="E232" s="14" t="s">
        <v>144</v>
      </c>
      <c r="F232" s="14" t="s">
        <v>156</v>
      </c>
      <c r="G232" s="14" t="s">
        <v>54</v>
      </c>
      <c r="H232" s="14">
        <v>3</v>
      </c>
      <c r="I232" s="16">
        <v>39.909999999999997</v>
      </c>
      <c r="J232" s="16">
        <v>18</v>
      </c>
      <c r="K232" s="16">
        <v>119.73</v>
      </c>
      <c r="L232" s="16">
        <v>65.73</v>
      </c>
      <c r="M232" s="14">
        <v>2014</v>
      </c>
      <c r="N232" s="14">
        <v>7</v>
      </c>
      <c r="O232" s="14" t="s">
        <v>76</v>
      </c>
      <c r="P232" s="14" t="s">
        <v>88</v>
      </c>
    </row>
    <row r="233" spans="1:16" x14ac:dyDescent="0.35">
      <c r="A233" s="14" t="s">
        <v>363</v>
      </c>
      <c r="B233" s="15">
        <v>41835</v>
      </c>
      <c r="C233" s="14" t="s">
        <v>55</v>
      </c>
      <c r="D233" s="14" t="s">
        <v>63</v>
      </c>
      <c r="E233" s="14" t="s">
        <v>153</v>
      </c>
      <c r="F233" s="14" t="s">
        <v>132</v>
      </c>
      <c r="G233" s="14" t="s">
        <v>56</v>
      </c>
      <c r="H233" s="14">
        <v>1</v>
      </c>
      <c r="I233" s="16">
        <v>33.76</v>
      </c>
      <c r="J233" s="16">
        <v>15</v>
      </c>
      <c r="K233" s="16">
        <v>33.76</v>
      </c>
      <c r="L233" s="16">
        <v>18.760000000000002</v>
      </c>
      <c r="M233" s="14">
        <v>2014</v>
      </c>
      <c r="N233" s="14">
        <v>7</v>
      </c>
      <c r="O233" s="14" t="s">
        <v>76</v>
      </c>
      <c r="P233" s="14" t="s">
        <v>88</v>
      </c>
    </row>
    <row r="234" spans="1:16" x14ac:dyDescent="0.35">
      <c r="A234" s="14" t="s">
        <v>364</v>
      </c>
      <c r="B234" s="15">
        <v>41836</v>
      </c>
      <c r="C234" s="14" t="s">
        <v>59</v>
      </c>
      <c r="D234" s="14" t="s">
        <v>63</v>
      </c>
      <c r="E234" s="14" t="s">
        <v>98</v>
      </c>
      <c r="F234" s="14" t="s">
        <v>137</v>
      </c>
      <c r="G234" s="14" t="s">
        <v>54</v>
      </c>
      <c r="H234" s="14">
        <v>2</v>
      </c>
      <c r="I234" s="16">
        <v>293.43</v>
      </c>
      <c r="J234" s="16">
        <v>180</v>
      </c>
      <c r="K234" s="16">
        <v>586.86</v>
      </c>
      <c r="L234" s="16">
        <v>226.86</v>
      </c>
      <c r="M234" s="14">
        <v>2014</v>
      </c>
      <c r="N234" s="14">
        <v>7</v>
      </c>
      <c r="O234" s="14" t="s">
        <v>76</v>
      </c>
      <c r="P234" s="14" t="s">
        <v>88</v>
      </c>
    </row>
    <row r="235" spans="1:16" x14ac:dyDescent="0.35">
      <c r="A235" s="14" t="s">
        <v>365</v>
      </c>
      <c r="B235" s="15">
        <v>41837</v>
      </c>
      <c r="C235" s="14" t="s">
        <v>57</v>
      </c>
      <c r="D235" s="14" t="s">
        <v>62</v>
      </c>
      <c r="E235" s="14" t="s">
        <v>89</v>
      </c>
      <c r="F235" s="14" t="s">
        <v>137</v>
      </c>
      <c r="G235" s="14" t="s">
        <v>54</v>
      </c>
      <c r="H235" s="14">
        <v>4</v>
      </c>
      <c r="I235" s="16">
        <v>289.14</v>
      </c>
      <c r="J235" s="16">
        <v>180</v>
      </c>
      <c r="K235" s="16">
        <v>1156.56</v>
      </c>
      <c r="L235" s="16">
        <v>436.56</v>
      </c>
      <c r="M235" s="14">
        <v>2014</v>
      </c>
      <c r="N235" s="14">
        <v>7</v>
      </c>
      <c r="O235" s="14" t="s">
        <v>76</v>
      </c>
      <c r="P235" s="14" t="s">
        <v>90</v>
      </c>
    </row>
    <row r="236" spans="1:16" x14ac:dyDescent="0.35">
      <c r="A236" s="14" t="s">
        <v>366</v>
      </c>
      <c r="B236" s="15">
        <v>41837</v>
      </c>
      <c r="C236" s="14" t="s">
        <v>53</v>
      </c>
      <c r="D236" s="14" t="s">
        <v>67</v>
      </c>
      <c r="E236" s="14" t="s">
        <v>87</v>
      </c>
      <c r="F236" s="14" t="s">
        <v>118</v>
      </c>
      <c r="G236" s="14" t="s">
        <v>54</v>
      </c>
      <c r="H236" s="14">
        <v>3</v>
      </c>
      <c r="I236" s="16">
        <v>24.8</v>
      </c>
      <c r="J236" s="16">
        <v>12</v>
      </c>
      <c r="K236" s="16">
        <v>74.400000000000006</v>
      </c>
      <c r="L236" s="16">
        <v>38.4</v>
      </c>
      <c r="M236" s="14">
        <v>2014</v>
      </c>
      <c r="N236" s="14">
        <v>7</v>
      </c>
      <c r="O236" s="14" t="s">
        <v>76</v>
      </c>
      <c r="P236" s="14" t="s">
        <v>88</v>
      </c>
    </row>
    <row r="237" spans="1:16" x14ac:dyDescent="0.35">
      <c r="A237" s="14" t="s">
        <v>367</v>
      </c>
      <c r="B237" s="15">
        <v>41838</v>
      </c>
      <c r="C237" s="14" t="s">
        <v>59</v>
      </c>
      <c r="D237" s="14" t="s">
        <v>68</v>
      </c>
      <c r="E237" s="14" t="s">
        <v>131</v>
      </c>
      <c r="F237" s="14" t="s">
        <v>142</v>
      </c>
      <c r="G237" s="14" t="s">
        <v>58</v>
      </c>
      <c r="H237" s="14">
        <v>2</v>
      </c>
      <c r="I237" s="16">
        <v>11.07</v>
      </c>
      <c r="J237" s="16">
        <v>4</v>
      </c>
      <c r="K237" s="16">
        <v>22.14</v>
      </c>
      <c r="L237" s="16">
        <v>14.14</v>
      </c>
      <c r="M237" s="14">
        <v>2014</v>
      </c>
      <c r="N237" s="14">
        <v>7</v>
      </c>
      <c r="O237" s="14" t="s">
        <v>76</v>
      </c>
      <c r="P237" s="14" t="s">
        <v>88</v>
      </c>
    </row>
    <row r="238" spans="1:16" x14ac:dyDescent="0.35">
      <c r="A238" s="14" t="s">
        <v>368</v>
      </c>
      <c r="B238" s="15">
        <v>41838</v>
      </c>
      <c r="C238" s="14" t="s">
        <v>53</v>
      </c>
      <c r="D238" s="14" t="s">
        <v>67</v>
      </c>
      <c r="E238" s="14" t="s">
        <v>98</v>
      </c>
      <c r="F238" s="14" t="s">
        <v>156</v>
      </c>
      <c r="G238" s="14" t="s">
        <v>54</v>
      </c>
      <c r="H238" s="14">
        <v>1</v>
      </c>
      <c r="I238" s="16">
        <v>42.54</v>
      </c>
      <c r="J238" s="16">
        <v>18</v>
      </c>
      <c r="K238" s="16">
        <v>42.54</v>
      </c>
      <c r="L238" s="16">
        <v>24.54</v>
      </c>
      <c r="M238" s="14">
        <v>2014</v>
      </c>
      <c r="N238" s="14">
        <v>7</v>
      </c>
      <c r="O238" s="14" t="s">
        <v>76</v>
      </c>
      <c r="P238" s="14" t="s">
        <v>88</v>
      </c>
    </row>
    <row r="239" spans="1:16" x14ac:dyDescent="0.35">
      <c r="A239" s="14" t="s">
        <v>369</v>
      </c>
      <c r="B239" s="15">
        <v>41839</v>
      </c>
      <c r="C239" s="14" t="s">
        <v>57</v>
      </c>
      <c r="D239" s="14" t="s">
        <v>66</v>
      </c>
      <c r="E239" s="14" t="s">
        <v>164</v>
      </c>
      <c r="F239" s="14" t="s">
        <v>140</v>
      </c>
      <c r="G239" s="14" t="s">
        <v>56</v>
      </c>
      <c r="H239" s="14">
        <v>4</v>
      </c>
      <c r="I239" s="16">
        <v>159.76</v>
      </c>
      <c r="J239" s="16">
        <v>95</v>
      </c>
      <c r="K239" s="16">
        <v>639.04</v>
      </c>
      <c r="L239" s="16">
        <v>259.04000000000002</v>
      </c>
      <c r="M239" s="14">
        <v>2014</v>
      </c>
      <c r="N239" s="14">
        <v>7</v>
      </c>
      <c r="O239" s="14" t="s">
        <v>76</v>
      </c>
      <c r="P239" s="14" t="s">
        <v>88</v>
      </c>
    </row>
    <row r="240" spans="1:16" x14ac:dyDescent="0.35">
      <c r="A240" s="14" t="s">
        <v>370</v>
      </c>
      <c r="B240" s="15">
        <v>41840</v>
      </c>
      <c r="C240" s="14" t="s">
        <v>55</v>
      </c>
      <c r="D240" s="14" t="s">
        <v>63</v>
      </c>
      <c r="E240" s="14" t="s">
        <v>98</v>
      </c>
      <c r="F240" s="14" t="s">
        <v>125</v>
      </c>
      <c r="G240" s="14" t="s">
        <v>56</v>
      </c>
      <c r="H240" s="14">
        <v>1</v>
      </c>
      <c r="I240" s="16">
        <v>141.88</v>
      </c>
      <c r="J240" s="16">
        <v>70</v>
      </c>
      <c r="K240" s="16">
        <v>141.88</v>
      </c>
      <c r="L240" s="16">
        <v>71.88</v>
      </c>
      <c r="M240" s="14">
        <v>2014</v>
      </c>
      <c r="N240" s="14">
        <v>7</v>
      </c>
      <c r="O240" s="14" t="s">
        <v>76</v>
      </c>
      <c r="P240" s="14" t="s">
        <v>88</v>
      </c>
    </row>
    <row r="241" spans="1:16" x14ac:dyDescent="0.35">
      <c r="A241" s="14" t="s">
        <v>371</v>
      </c>
      <c r="B241" s="15">
        <v>41840</v>
      </c>
      <c r="C241" s="14" t="s">
        <v>53</v>
      </c>
      <c r="D241" s="14" t="s">
        <v>64</v>
      </c>
      <c r="E241" s="14" t="s">
        <v>150</v>
      </c>
      <c r="F241" s="14" t="s">
        <v>142</v>
      </c>
      <c r="G241" s="14" t="s">
        <v>58</v>
      </c>
      <c r="H241" s="14">
        <v>3</v>
      </c>
      <c r="I241" s="16">
        <v>11.07</v>
      </c>
      <c r="J241" s="16">
        <v>4</v>
      </c>
      <c r="K241" s="16">
        <v>33.21</v>
      </c>
      <c r="L241" s="16">
        <v>21.21</v>
      </c>
      <c r="M241" s="14">
        <v>2014</v>
      </c>
      <c r="N241" s="14">
        <v>7</v>
      </c>
      <c r="O241" s="14" t="s">
        <v>76</v>
      </c>
      <c r="P241" s="14" t="s">
        <v>88</v>
      </c>
    </row>
    <row r="242" spans="1:16" x14ac:dyDescent="0.35">
      <c r="A242" s="14" t="s">
        <v>372</v>
      </c>
      <c r="B242" s="15">
        <v>41842</v>
      </c>
      <c r="C242" s="14" t="s">
        <v>53</v>
      </c>
      <c r="D242" s="14" t="s">
        <v>64</v>
      </c>
      <c r="E242" s="14" t="s">
        <v>139</v>
      </c>
      <c r="F242" s="14" t="s">
        <v>156</v>
      </c>
      <c r="G242" s="14" t="s">
        <v>54</v>
      </c>
      <c r="H242" s="14">
        <v>2</v>
      </c>
      <c r="I242" s="16">
        <v>39.76</v>
      </c>
      <c r="J242" s="16">
        <v>18</v>
      </c>
      <c r="K242" s="16">
        <v>79.52</v>
      </c>
      <c r="L242" s="16">
        <v>43.52</v>
      </c>
      <c r="M242" s="14">
        <v>2014</v>
      </c>
      <c r="N242" s="14">
        <v>7</v>
      </c>
      <c r="O242" s="14" t="s">
        <v>76</v>
      </c>
      <c r="P242" s="14" t="s">
        <v>88</v>
      </c>
    </row>
    <row r="243" spans="1:16" x14ac:dyDescent="0.35">
      <c r="A243" s="14" t="s">
        <v>373</v>
      </c>
      <c r="B243" s="15">
        <v>41843</v>
      </c>
      <c r="C243" s="14" t="s">
        <v>55</v>
      </c>
      <c r="D243" s="14" t="s">
        <v>63</v>
      </c>
      <c r="E243" s="14" t="s">
        <v>139</v>
      </c>
      <c r="F243" s="14" t="s">
        <v>142</v>
      </c>
      <c r="G243" s="14" t="s">
        <v>58</v>
      </c>
      <c r="H243" s="14">
        <v>4</v>
      </c>
      <c r="I243" s="16">
        <v>10.1</v>
      </c>
      <c r="J243" s="16">
        <v>4</v>
      </c>
      <c r="K243" s="16">
        <v>40.4</v>
      </c>
      <c r="L243" s="16">
        <v>24.4</v>
      </c>
      <c r="M243" s="14">
        <v>2014</v>
      </c>
      <c r="N243" s="14">
        <v>7</v>
      </c>
      <c r="O243" s="14" t="s">
        <v>76</v>
      </c>
      <c r="P243" s="14" t="s">
        <v>88</v>
      </c>
    </row>
    <row r="244" spans="1:16" x14ac:dyDescent="0.35">
      <c r="A244" s="14" t="s">
        <v>374</v>
      </c>
      <c r="B244" s="15">
        <v>41846</v>
      </c>
      <c r="C244" s="14" t="s">
        <v>53</v>
      </c>
      <c r="D244" s="14" t="s">
        <v>67</v>
      </c>
      <c r="E244" s="14" t="s">
        <v>139</v>
      </c>
      <c r="F244" s="14" t="s">
        <v>115</v>
      </c>
      <c r="G244" s="14" t="s">
        <v>56</v>
      </c>
      <c r="H244" s="14">
        <v>1</v>
      </c>
      <c r="I244" s="16">
        <v>363.4</v>
      </c>
      <c r="J244" s="16">
        <v>220</v>
      </c>
      <c r="K244" s="16">
        <v>363.4</v>
      </c>
      <c r="L244" s="16">
        <v>143.4</v>
      </c>
      <c r="M244" s="14">
        <v>2014</v>
      </c>
      <c r="N244" s="14">
        <v>7</v>
      </c>
      <c r="O244" s="14" t="s">
        <v>76</v>
      </c>
      <c r="P244" s="14" t="s">
        <v>88</v>
      </c>
    </row>
    <row r="245" spans="1:16" x14ac:dyDescent="0.35">
      <c r="A245" s="14" t="s">
        <v>375</v>
      </c>
      <c r="B245" s="15">
        <v>41847</v>
      </c>
      <c r="C245" s="14" t="s">
        <v>59</v>
      </c>
      <c r="D245" s="14" t="s">
        <v>61</v>
      </c>
      <c r="E245" s="14" t="s">
        <v>91</v>
      </c>
      <c r="F245" s="14" t="s">
        <v>132</v>
      </c>
      <c r="G245" s="14" t="s">
        <v>56</v>
      </c>
      <c r="H245" s="14">
        <v>1</v>
      </c>
      <c r="I245" s="16">
        <v>33.94</v>
      </c>
      <c r="J245" s="16">
        <v>15</v>
      </c>
      <c r="K245" s="16">
        <v>33.94</v>
      </c>
      <c r="L245" s="16">
        <v>18.940000000000001</v>
      </c>
      <c r="M245" s="14">
        <v>2014</v>
      </c>
      <c r="N245" s="14">
        <v>7</v>
      </c>
      <c r="O245" s="14" t="s">
        <v>76</v>
      </c>
      <c r="P245" s="14" t="s">
        <v>88</v>
      </c>
    </row>
    <row r="246" spans="1:16" x14ac:dyDescent="0.35">
      <c r="A246" s="14" t="s">
        <v>376</v>
      </c>
      <c r="B246" s="15">
        <v>41847</v>
      </c>
      <c r="C246" s="14" t="s">
        <v>55</v>
      </c>
      <c r="D246" s="14" t="s">
        <v>63</v>
      </c>
      <c r="E246" s="14" t="s">
        <v>100</v>
      </c>
      <c r="F246" s="14" t="s">
        <v>156</v>
      </c>
      <c r="G246" s="14" t="s">
        <v>54</v>
      </c>
      <c r="H246" s="14">
        <v>1</v>
      </c>
      <c r="I246" s="16">
        <v>39.99</v>
      </c>
      <c r="J246" s="16">
        <v>18</v>
      </c>
      <c r="K246" s="16">
        <v>39.99</v>
      </c>
      <c r="L246" s="16">
        <v>21.99</v>
      </c>
      <c r="M246" s="14">
        <v>2014</v>
      </c>
      <c r="N246" s="14">
        <v>7</v>
      </c>
      <c r="O246" s="14" t="s">
        <v>76</v>
      </c>
      <c r="P246" s="14" t="s">
        <v>88</v>
      </c>
    </row>
    <row r="247" spans="1:16" x14ac:dyDescent="0.35">
      <c r="A247" s="14" t="s">
        <v>377</v>
      </c>
      <c r="B247" s="15">
        <v>41849</v>
      </c>
      <c r="C247" s="14" t="s">
        <v>55</v>
      </c>
      <c r="D247" s="14" t="s">
        <v>63</v>
      </c>
      <c r="E247" s="14" t="s">
        <v>134</v>
      </c>
      <c r="F247" s="14" t="s">
        <v>142</v>
      </c>
      <c r="G247" s="14" t="s">
        <v>58</v>
      </c>
      <c r="H247" s="14">
        <v>1</v>
      </c>
      <c r="I247" s="16">
        <v>10.4</v>
      </c>
      <c r="J247" s="16">
        <v>4</v>
      </c>
      <c r="K247" s="16">
        <v>10.4</v>
      </c>
      <c r="L247" s="16">
        <v>6.4</v>
      </c>
      <c r="M247" s="14">
        <v>2014</v>
      </c>
      <c r="N247" s="14">
        <v>7</v>
      </c>
      <c r="O247" s="14" t="s">
        <v>76</v>
      </c>
      <c r="P247" s="14" t="s">
        <v>88</v>
      </c>
    </row>
    <row r="248" spans="1:16" x14ac:dyDescent="0.35">
      <c r="A248" s="14" t="s">
        <v>378</v>
      </c>
      <c r="B248" s="15">
        <v>41849</v>
      </c>
      <c r="C248" s="14" t="s">
        <v>57</v>
      </c>
      <c r="D248" s="14" t="s">
        <v>63</v>
      </c>
      <c r="E248" s="14" t="s">
        <v>117</v>
      </c>
      <c r="F248" s="14" t="s">
        <v>142</v>
      </c>
      <c r="G248" s="14" t="s">
        <v>58</v>
      </c>
      <c r="H248" s="14">
        <v>3</v>
      </c>
      <c r="I248" s="16">
        <v>10.85</v>
      </c>
      <c r="J248" s="16">
        <v>4</v>
      </c>
      <c r="K248" s="16">
        <v>32.549999999999997</v>
      </c>
      <c r="L248" s="16">
        <v>20.55</v>
      </c>
      <c r="M248" s="14">
        <v>2014</v>
      </c>
      <c r="N248" s="14">
        <v>7</v>
      </c>
      <c r="O248" s="14" t="s">
        <v>76</v>
      </c>
      <c r="P248" s="14" t="s">
        <v>88</v>
      </c>
    </row>
    <row r="249" spans="1:16" x14ac:dyDescent="0.35">
      <c r="A249" s="14" t="s">
        <v>379</v>
      </c>
      <c r="B249" s="15">
        <v>41849</v>
      </c>
      <c r="C249" s="14" t="s">
        <v>57</v>
      </c>
      <c r="D249" s="14" t="s">
        <v>62</v>
      </c>
      <c r="E249" s="14" t="s">
        <v>117</v>
      </c>
      <c r="F249" s="14" t="s">
        <v>156</v>
      </c>
      <c r="G249" s="14" t="s">
        <v>54</v>
      </c>
      <c r="H249" s="14">
        <v>1</v>
      </c>
      <c r="I249" s="16">
        <v>43.12</v>
      </c>
      <c r="J249" s="16">
        <v>18</v>
      </c>
      <c r="K249" s="16">
        <v>43.12</v>
      </c>
      <c r="L249" s="16">
        <v>25.12</v>
      </c>
      <c r="M249" s="14">
        <v>2014</v>
      </c>
      <c r="N249" s="14">
        <v>7</v>
      </c>
      <c r="O249" s="14" t="s">
        <v>76</v>
      </c>
      <c r="P249" s="14" t="s">
        <v>88</v>
      </c>
    </row>
    <row r="250" spans="1:16" x14ac:dyDescent="0.35">
      <c r="A250" s="14" t="s">
        <v>380</v>
      </c>
      <c r="B250" s="15">
        <v>41852</v>
      </c>
      <c r="C250" s="14" t="s">
        <v>57</v>
      </c>
      <c r="D250" s="14" t="s">
        <v>66</v>
      </c>
      <c r="E250" s="14" t="s">
        <v>100</v>
      </c>
      <c r="F250" s="14" t="s">
        <v>142</v>
      </c>
      <c r="G250" s="14" t="s">
        <v>58</v>
      </c>
      <c r="H250" s="14">
        <v>3</v>
      </c>
      <c r="I250" s="16">
        <v>12.23</v>
      </c>
      <c r="J250" s="16">
        <v>4</v>
      </c>
      <c r="K250" s="16">
        <v>36.69</v>
      </c>
      <c r="L250" s="16">
        <v>24.69</v>
      </c>
      <c r="M250" s="14">
        <v>2014</v>
      </c>
      <c r="N250" s="14">
        <v>8</v>
      </c>
      <c r="O250" s="14" t="s">
        <v>77</v>
      </c>
      <c r="P250" s="14" t="s">
        <v>88</v>
      </c>
    </row>
    <row r="251" spans="1:16" x14ac:dyDescent="0.35">
      <c r="A251" s="14" t="s">
        <v>381</v>
      </c>
      <c r="B251" s="15">
        <v>41853</v>
      </c>
      <c r="C251" s="14" t="s">
        <v>57</v>
      </c>
      <c r="D251" s="14" t="s">
        <v>66</v>
      </c>
      <c r="E251" s="14" t="s">
        <v>164</v>
      </c>
      <c r="F251" s="14" t="s">
        <v>123</v>
      </c>
      <c r="G251" s="14" t="s">
        <v>54</v>
      </c>
      <c r="H251" s="14">
        <v>1</v>
      </c>
      <c r="I251" s="16">
        <v>69.010000000000005</v>
      </c>
      <c r="J251" s="16">
        <v>28</v>
      </c>
      <c r="K251" s="16">
        <v>69.010000000000005</v>
      </c>
      <c r="L251" s="16">
        <v>41.01</v>
      </c>
      <c r="M251" s="14">
        <v>2014</v>
      </c>
      <c r="N251" s="14">
        <v>8</v>
      </c>
      <c r="O251" s="14" t="s">
        <v>77</v>
      </c>
      <c r="P251" s="14" t="s">
        <v>88</v>
      </c>
    </row>
    <row r="252" spans="1:16" x14ac:dyDescent="0.35">
      <c r="A252" s="14" t="s">
        <v>382</v>
      </c>
      <c r="B252" s="15">
        <v>41854</v>
      </c>
      <c r="C252" s="14" t="s">
        <v>55</v>
      </c>
      <c r="D252" s="14" t="s">
        <v>63</v>
      </c>
      <c r="E252" s="14" t="s">
        <v>146</v>
      </c>
      <c r="F252" s="14" t="s">
        <v>142</v>
      </c>
      <c r="G252" s="14" t="s">
        <v>58</v>
      </c>
      <c r="H252" s="14">
        <v>3</v>
      </c>
      <c r="I252" s="16">
        <v>12.85</v>
      </c>
      <c r="J252" s="16">
        <v>4</v>
      </c>
      <c r="K252" s="16">
        <v>38.549999999999997</v>
      </c>
      <c r="L252" s="16">
        <v>26.55</v>
      </c>
      <c r="M252" s="14">
        <v>2014</v>
      </c>
      <c r="N252" s="14">
        <v>8</v>
      </c>
      <c r="O252" s="14" t="s">
        <v>77</v>
      </c>
      <c r="P252" s="14" t="s">
        <v>88</v>
      </c>
    </row>
    <row r="253" spans="1:16" x14ac:dyDescent="0.35">
      <c r="A253" s="14" t="s">
        <v>383</v>
      </c>
      <c r="B253" s="15">
        <v>41854</v>
      </c>
      <c r="C253" s="14" t="s">
        <v>57</v>
      </c>
      <c r="D253" s="14" t="s">
        <v>62</v>
      </c>
      <c r="E253" s="14" t="s">
        <v>150</v>
      </c>
      <c r="F253" s="14" t="s">
        <v>123</v>
      </c>
      <c r="G253" s="14" t="s">
        <v>54</v>
      </c>
      <c r="H253" s="14">
        <v>2</v>
      </c>
      <c r="I253" s="16">
        <v>70.78</v>
      </c>
      <c r="J253" s="16">
        <v>28</v>
      </c>
      <c r="K253" s="16">
        <v>141.56</v>
      </c>
      <c r="L253" s="16">
        <v>85.56</v>
      </c>
      <c r="M253" s="14">
        <v>2014</v>
      </c>
      <c r="N253" s="14">
        <v>8</v>
      </c>
      <c r="O253" s="14" t="s">
        <v>77</v>
      </c>
      <c r="P253" s="14" t="s">
        <v>88</v>
      </c>
    </row>
    <row r="254" spans="1:16" x14ac:dyDescent="0.35">
      <c r="A254" s="14" t="s">
        <v>384</v>
      </c>
      <c r="B254" s="15">
        <v>41855</v>
      </c>
      <c r="C254" s="14" t="s">
        <v>57</v>
      </c>
      <c r="D254" s="14" t="s">
        <v>63</v>
      </c>
      <c r="E254" s="14" t="s">
        <v>91</v>
      </c>
      <c r="F254" s="14" t="s">
        <v>128</v>
      </c>
      <c r="G254" s="14" t="s">
        <v>54</v>
      </c>
      <c r="H254" s="14">
        <v>3</v>
      </c>
      <c r="I254" s="16">
        <v>88.43</v>
      </c>
      <c r="J254" s="16">
        <v>40</v>
      </c>
      <c r="K254" s="16">
        <v>265.29000000000002</v>
      </c>
      <c r="L254" s="16">
        <v>145.29</v>
      </c>
      <c r="M254" s="14">
        <v>2014</v>
      </c>
      <c r="N254" s="14">
        <v>8</v>
      </c>
      <c r="O254" s="14" t="s">
        <v>77</v>
      </c>
      <c r="P254" s="14" t="s">
        <v>88</v>
      </c>
    </row>
    <row r="255" spans="1:16" x14ac:dyDescent="0.35">
      <c r="A255" s="14" t="s">
        <v>385</v>
      </c>
      <c r="B255" s="15">
        <v>41856</v>
      </c>
      <c r="C255" s="14" t="s">
        <v>59</v>
      </c>
      <c r="D255" s="14" t="s">
        <v>68</v>
      </c>
      <c r="E255" s="14" t="s">
        <v>134</v>
      </c>
      <c r="F255" s="14" t="s">
        <v>142</v>
      </c>
      <c r="G255" s="14" t="s">
        <v>58</v>
      </c>
      <c r="H255" s="14">
        <v>1</v>
      </c>
      <c r="I255" s="16">
        <v>12.25</v>
      </c>
      <c r="J255" s="16">
        <v>4</v>
      </c>
      <c r="K255" s="16">
        <v>12.25</v>
      </c>
      <c r="L255" s="16">
        <v>8.25</v>
      </c>
      <c r="M255" s="14">
        <v>2014</v>
      </c>
      <c r="N255" s="14">
        <v>8</v>
      </c>
      <c r="O255" s="14" t="s">
        <v>77</v>
      </c>
      <c r="P255" s="14" t="s">
        <v>88</v>
      </c>
    </row>
    <row r="256" spans="1:16" x14ac:dyDescent="0.35">
      <c r="A256" s="14" t="s">
        <v>386</v>
      </c>
      <c r="B256" s="15">
        <v>41860</v>
      </c>
      <c r="C256" s="14" t="s">
        <v>55</v>
      </c>
      <c r="D256" s="14" t="s">
        <v>63</v>
      </c>
      <c r="E256" s="14" t="s">
        <v>100</v>
      </c>
      <c r="F256" s="14" t="s">
        <v>132</v>
      </c>
      <c r="G256" s="14" t="s">
        <v>56</v>
      </c>
      <c r="H256" s="14">
        <v>1</v>
      </c>
      <c r="I256" s="16">
        <v>37.4</v>
      </c>
      <c r="J256" s="16">
        <v>15</v>
      </c>
      <c r="K256" s="16">
        <v>37.4</v>
      </c>
      <c r="L256" s="16">
        <v>22.4</v>
      </c>
      <c r="M256" s="14">
        <v>2014</v>
      </c>
      <c r="N256" s="14">
        <v>8</v>
      </c>
      <c r="O256" s="14" t="s">
        <v>77</v>
      </c>
      <c r="P256" s="14" t="s">
        <v>88</v>
      </c>
    </row>
    <row r="257" spans="1:16" x14ac:dyDescent="0.35">
      <c r="A257" s="14" t="s">
        <v>387</v>
      </c>
      <c r="B257" s="15">
        <v>41862</v>
      </c>
      <c r="C257" s="14" t="s">
        <v>55</v>
      </c>
      <c r="D257" s="14" t="s">
        <v>65</v>
      </c>
      <c r="E257" s="14" t="s">
        <v>91</v>
      </c>
      <c r="F257" s="14" t="s">
        <v>115</v>
      </c>
      <c r="G257" s="14" t="s">
        <v>56</v>
      </c>
      <c r="H257" s="14">
        <v>3</v>
      </c>
      <c r="I257" s="16">
        <v>438.13</v>
      </c>
      <c r="J257" s="16">
        <v>220</v>
      </c>
      <c r="K257" s="16">
        <v>1314.39</v>
      </c>
      <c r="L257" s="16">
        <v>654.39</v>
      </c>
      <c r="M257" s="14">
        <v>2014</v>
      </c>
      <c r="N257" s="14">
        <v>8</v>
      </c>
      <c r="O257" s="14" t="s">
        <v>77</v>
      </c>
      <c r="P257" s="14" t="s">
        <v>90</v>
      </c>
    </row>
    <row r="258" spans="1:16" x14ac:dyDescent="0.35">
      <c r="A258" s="14" t="s">
        <v>388</v>
      </c>
      <c r="B258" s="15">
        <v>41863</v>
      </c>
      <c r="C258" s="14" t="s">
        <v>53</v>
      </c>
      <c r="D258" s="14" t="s">
        <v>67</v>
      </c>
      <c r="E258" s="14" t="s">
        <v>164</v>
      </c>
      <c r="F258" s="14" t="s">
        <v>137</v>
      </c>
      <c r="G258" s="14" t="s">
        <v>54</v>
      </c>
      <c r="H258" s="14">
        <v>2</v>
      </c>
      <c r="I258" s="16">
        <v>331.41</v>
      </c>
      <c r="J258" s="16">
        <v>180</v>
      </c>
      <c r="K258" s="16">
        <v>662.82</v>
      </c>
      <c r="L258" s="16">
        <v>302.82</v>
      </c>
      <c r="M258" s="14">
        <v>2014</v>
      </c>
      <c r="N258" s="14">
        <v>8</v>
      </c>
      <c r="O258" s="14" t="s">
        <v>77</v>
      </c>
      <c r="P258" s="14" t="s">
        <v>88</v>
      </c>
    </row>
    <row r="259" spans="1:16" x14ac:dyDescent="0.35">
      <c r="A259" s="14" t="s">
        <v>389</v>
      </c>
      <c r="B259" s="15">
        <v>41863</v>
      </c>
      <c r="C259" s="14" t="s">
        <v>57</v>
      </c>
      <c r="D259" s="14" t="s">
        <v>62</v>
      </c>
      <c r="E259" s="14" t="s">
        <v>117</v>
      </c>
      <c r="F259" s="14" t="s">
        <v>128</v>
      </c>
      <c r="G259" s="14" t="s">
        <v>54</v>
      </c>
      <c r="H259" s="14">
        <v>4</v>
      </c>
      <c r="I259" s="16">
        <v>92.83</v>
      </c>
      <c r="J259" s="16">
        <v>40</v>
      </c>
      <c r="K259" s="16">
        <v>371.32</v>
      </c>
      <c r="L259" s="16">
        <v>211.32</v>
      </c>
      <c r="M259" s="14">
        <v>2014</v>
      </c>
      <c r="N259" s="14">
        <v>8</v>
      </c>
      <c r="O259" s="14" t="s">
        <v>77</v>
      </c>
      <c r="P259" s="14" t="s">
        <v>88</v>
      </c>
    </row>
    <row r="260" spans="1:16" x14ac:dyDescent="0.35">
      <c r="A260" s="14" t="s">
        <v>390</v>
      </c>
      <c r="B260" s="15">
        <v>41863</v>
      </c>
      <c r="C260" s="14" t="s">
        <v>55</v>
      </c>
      <c r="D260" s="14" t="s">
        <v>63</v>
      </c>
      <c r="E260" s="14" t="s">
        <v>150</v>
      </c>
      <c r="F260" s="14" t="s">
        <v>125</v>
      </c>
      <c r="G260" s="14" t="s">
        <v>56</v>
      </c>
      <c r="H260" s="14">
        <v>3</v>
      </c>
      <c r="I260" s="16">
        <v>165.82</v>
      </c>
      <c r="J260" s="16">
        <v>70</v>
      </c>
      <c r="K260" s="16">
        <v>497.46</v>
      </c>
      <c r="L260" s="16">
        <v>287.45999999999998</v>
      </c>
      <c r="M260" s="14">
        <v>2014</v>
      </c>
      <c r="N260" s="14">
        <v>8</v>
      </c>
      <c r="O260" s="14" t="s">
        <v>77</v>
      </c>
      <c r="P260" s="14" t="s">
        <v>88</v>
      </c>
    </row>
    <row r="261" spans="1:16" x14ac:dyDescent="0.35">
      <c r="A261" s="14" t="s">
        <v>391</v>
      </c>
      <c r="B261" s="15">
        <v>41864</v>
      </c>
      <c r="C261" s="14" t="s">
        <v>59</v>
      </c>
      <c r="D261" s="14" t="s">
        <v>61</v>
      </c>
      <c r="E261" s="14" t="s">
        <v>153</v>
      </c>
      <c r="F261" s="14" t="s">
        <v>142</v>
      </c>
      <c r="G261" s="14" t="s">
        <v>58</v>
      </c>
      <c r="H261" s="14">
        <v>1</v>
      </c>
      <c r="I261" s="16">
        <v>12.84</v>
      </c>
      <c r="J261" s="16">
        <v>4</v>
      </c>
      <c r="K261" s="16">
        <v>12.84</v>
      </c>
      <c r="L261" s="16">
        <v>8.84</v>
      </c>
      <c r="M261" s="14">
        <v>2014</v>
      </c>
      <c r="N261" s="14">
        <v>8</v>
      </c>
      <c r="O261" s="14" t="s">
        <v>77</v>
      </c>
      <c r="P261" s="14" t="s">
        <v>88</v>
      </c>
    </row>
    <row r="262" spans="1:16" x14ac:dyDescent="0.35">
      <c r="A262" s="14" t="s">
        <v>392</v>
      </c>
      <c r="B262" s="15">
        <v>41864</v>
      </c>
      <c r="C262" s="14" t="s">
        <v>57</v>
      </c>
      <c r="D262" s="14" t="s">
        <v>62</v>
      </c>
      <c r="E262" s="14" t="s">
        <v>117</v>
      </c>
      <c r="F262" s="14" t="s">
        <v>156</v>
      </c>
      <c r="G262" s="14" t="s">
        <v>54</v>
      </c>
      <c r="H262" s="14">
        <v>3</v>
      </c>
      <c r="I262" s="16">
        <v>49.43</v>
      </c>
      <c r="J262" s="16">
        <v>18</v>
      </c>
      <c r="K262" s="16">
        <v>148.29</v>
      </c>
      <c r="L262" s="16">
        <v>94.29</v>
      </c>
      <c r="M262" s="14">
        <v>2014</v>
      </c>
      <c r="N262" s="14">
        <v>8</v>
      </c>
      <c r="O262" s="14" t="s">
        <v>77</v>
      </c>
      <c r="P262" s="14" t="s">
        <v>88</v>
      </c>
    </row>
    <row r="263" spans="1:16" x14ac:dyDescent="0.35">
      <c r="A263" s="14" t="s">
        <v>393</v>
      </c>
      <c r="B263" s="15">
        <v>41866</v>
      </c>
      <c r="C263" s="14" t="s">
        <v>59</v>
      </c>
      <c r="D263" s="14" t="s">
        <v>68</v>
      </c>
      <c r="E263" s="14" t="s">
        <v>164</v>
      </c>
      <c r="F263" s="14" t="s">
        <v>118</v>
      </c>
      <c r="G263" s="14" t="s">
        <v>54</v>
      </c>
      <c r="H263" s="14">
        <v>4</v>
      </c>
      <c r="I263" s="16">
        <v>29.55</v>
      </c>
      <c r="J263" s="16">
        <v>12</v>
      </c>
      <c r="K263" s="16">
        <v>118.2</v>
      </c>
      <c r="L263" s="16">
        <v>70.2</v>
      </c>
      <c r="M263" s="14">
        <v>2014</v>
      </c>
      <c r="N263" s="14">
        <v>8</v>
      </c>
      <c r="O263" s="14" t="s">
        <v>77</v>
      </c>
      <c r="P263" s="14" t="s">
        <v>88</v>
      </c>
    </row>
    <row r="264" spans="1:16" x14ac:dyDescent="0.35">
      <c r="A264" s="14" t="s">
        <v>394</v>
      </c>
      <c r="B264" s="15">
        <v>41866</v>
      </c>
      <c r="C264" s="14" t="s">
        <v>55</v>
      </c>
      <c r="D264" s="14" t="s">
        <v>63</v>
      </c>
      <c r="E264" s="14" t="s">
        <v>100</v>
      </c>
      <c r="F264" s="14" t="s">
        <v>128</v>
      </c>
      <c r="G264" s="14" t="s">
        <v>54</v>
      </c>
      <c r="H264" s="14">
        <v>3</v>
      </c>
      <c r="I264" s="16">
        <v>93.09</v>
      </c>
      <c r="J264" s="16">
        <v>40</v>
      </c>
      <c r="K264" s="16">
        <v>279.27</v>
      </c>
      <c r="L264" s="16">
        <v>159.27000000000001</v>
      </c>
      <c r="M264" s="14">
        <v>2014</v>
      </c>
      <c r="N264" s="14">
        <v>8</v>
      </c>
      <c r="O264" s="14" t="s">
        <v>77</v>
      </c>
      <c r="P264" s="14" t="s">
        <v>88</v>
      </c>
    </row>
    <row r="265" spans="1:16" x14ac:dyDescent="0.35">
      <c r="A265" s="14" t="s">
        <v>395</v>
      </c>
      <c r="B265" s="15">
        <v>41868</v>
      </c>
      <c r="C265" s="14" t="s">
        <v>53</v>
      </c>
      <c r="D265" s="14" t="s">
        <v>67</v>
      </c>
      <c r="E265" s="14" t="s">
        <v>100</v>
      </c>
      <c r="F265" s="14" t="s">
        <v>132</v>
      </c>
      <c r="G265" s="14" t="s">
        <v>56</v>
      </c>
      <c r="H265" s="14">
        <v>2</v>
      </c>
      <c r="I265" s="16">
        <v>37.28</v>
      </c>
      <c r="J265" s="16">
        <v>15</v>
      </c>
      <c r="K265" s="16">
        <v>74.56</v>
      </c>
      <c r="L265" s="16">
        <v>44.56</v>
      </c>
      <c r="M265" s="14">
        <v>2014</v>
      </c>
      <c r="N265" s="14">
        <v>8</v>
      </c>
      <c r="O265" s="14" t="s">
        <v>77</v>
      </c>
      <c r="P265" s="14" t="s">
        <v>88</v>
      </c>
    </row>
    <row r="266" spans="1:16" x14ac:dyDescent="0.35">
      <c r="A266" s="14" t="s">
        <v>396</v>
      </c>
      <c r="B266" s="15">
        <v>41868</v>
      </c>
      <c r="C266" s="14" t="s">
        <v>53</v>
      </c>
      <c r="D266" s="14" t="s">
        <v>67</v>
      </c>
      <c r="E266" s="14" t="s">
        <v>134</v>
      </c>
      <c r="F266" s="14" t="s">
        <v>142</v>
      </c>
      <c r="G266" s="14" t="s">
        <v>58</v>
      </c>
      <c r="H266" s="14">
        <v>1</v>
      </c>
      <c r="I266" s="16">
        <v>12.21</v>
      </c>
      <c r="J266" s="16">
        <v>4</v>
      </c>
      <c r="K266" s="16">
        <v>12.21</v>
      </c>
      <c r="L266" s="16">
        <v>8.2100000000000009</v>
      </c>
      <c r="M266" s="14">
        <v>2014</v>
      </c>
      <c r="N266" s="14">
        <v>8</v>
      </c>
      <c r="O266" s="14" t="s">
        <v>77</v>
      </c>
      <c r="P266" s="14" t="s">
        <v>88</v>
      </c>
    </row>
    <row r="267" spans="1:16" x14ac:dyDescent="0.35">
      <c r="A267" s="14" t="s">
        <v>397</v>
      </c>
      <c r="B267" s="15">
        <v>41869</v>
      </c>
      <c r="C267" s="14" t="s">
        <v>57</v>
      </c>
      <c r="D267" s="14" t="s">
        <v>66</v>
      </c>
      <c r="E267" s="14" t="s">
        <v>91</v>
      </c>
      <c r="F267" s="14" t="s">
        <v>137</v>
      </c>
      <c r="G267" s="14" t="s">
        <v>54</v>
      </c>
      <c r="H267" s="14">
        <v>1</v>
      </c>
      <c r="I267" s="16">
        <v>314.8</v>
      </c>
      <c r="J267" s="16">
        <v>180</v>
      </c>
      <c r="K267" s="16">
        <v>314.8</v>
      </c>
      <c r="L267" s="16">
        <v>134.80000000000001</v>
      </c>
      <c r="M267" s="14">
        <v>2014</v>
      </c>
      <c r="N267" s="14">
        <v>8</v>
      </c>
      <c r="O267" s="14" t="s">
        <v>77</v>
      </c>
      <c r="P267" s="14" t="s">
        <v>88</v>
      </c>
    </row>
    <row r="268" spans="1:16" x14ac:dyDescent="0.35">
      <c r="A268" s="14" t="s">
        <v>398</v>
      </c>
      <c r="B268" s="15">
        <v>41872</v>
      </c>
      <c r="C268" s="14" t="s">
        <v>53</v>
      </c>
      <c r="D268" s="14" t="s">
        <v>64</v>
      </c>
      <c r="E268" s="14" t="s">
        <v>139</v>
      </c>
      <c r="F268" s="14" t="s">
        <v>125</v>
      </c>
      <c r="G268" s="14" t="s">
        <v>56</v>
      </c>
      <c r="H268" s="14">
        <v>3</v>
      </c>
      <c r="I268" s="16">
        <v>158.79</v>
      </c>
      <c r="J268" s="16">
        <v>70</v>
      </c>
      <c r="K268" s="16">
        <v>476.37</v>
      </c>
      <c r="L268" s="16">
        <v>266.37</v>
      </c>
      <c r="M268" s="14">
        <v>2014</v>
      </c>
      <c r="N268" s="14">
        <v>8</v>
      </c>
      <c r="O268" s="14" t="s">
        <v>77</v>
      </c>
      <c r="P268" s="14" t="s">
        <v>88</v>
      </c>
    </row>
    <row r="269" spans="1:16" x14ac:dyDescent="0.35">
      <c r="A269" s="14" t="s">
        <v>399</v>
      </c>
      <c r="B269" s="15">
        <v>41872</v>
      </c>
      <c r="C269" s="14" t="s">
        <v>59</v>
      </c>
      <c r="D269" s="14" t="s">
        <v>68</v>
      </c>
      <c r="E269" s="14" t="s">
        <v>164</v>
      </c>
      <c r="F269" s="14" t="s">
        <v>137</v>
      </c>
      <c r="G269" s="14" t="s">
        <v>54</v>
      </c>
      <c r="H269" s="14">
        <v>2</v>
      </c>
      <c r="I269" s="16">
        <v>334.43</v>
      </c>
      <c r="J269" s="16">
        <v>180</v>
      </c>
      <c r="K269" s="16">
        <v>668.86</v>
      </c>
      <c r="L269" s="16">
        <v>308.86</v>
      </c>
      <c r="M269" s="14">
        <v>2014</v>
      </c>
      <c r="N269" s="14">
        <v>8</v>
      </c>
      <c r="O269" s="14" t="s">
        <v>77</v>
      </c>
      <c r="P269" s="14" t="s">
        <v>88</v>
      </c>
    </row>
    <row r="270" spans="1:16" x14ac:dyDescent="0.35">
      <c r="A270" s="14" t="s">
        <v>400</v>
      </c>
      <c r="B270" s="15">
        <v>41872</v>
      </c>
      <c r="C270" s="14" t="s">
        <v>57</v>
      </c>
      <c r="D270" s="14" t="s">
        <v>66</v>
      </c>
      <c r="E270" s="14" t="s">
        <v>98</v>
      </c>
      <c r="F270" s="14" t="s">
        <v>123</v>
      </c>
      <c r="G270" s="14" t="s">
        <v>54</v>
      </c>
      <c r="H270" s="14">
        <v>2</v>
      </c>
      <c r="I270" s="16">
        <v>70.08</v>
      </c>
      <c r="J270" s="16">
        <v>28</v>
      </c>
      <c r="K270" s="16">
        <v>140.16</v>
      </c>
      <c r="L270" s="16">
        <v>84.16</v>
      </c>
      <c r="M270" s="14">
        <v>2014</v>
      </c>
      <c r="N270" s="14">
        <v>8</v>
      </c>
      <c r="O270" s="14" t="s">
        <v>77</v>
      </c>
      <c r="P270" s="14" t="s">
        <v>88</v>
      </c>
    </row>
    <row r="271" spans="1:16" x14ac:dyDescent="0.35">
      <c r="A271" s="14" t="s">
        <v>401</v>
      </c>
      <c r="B271" s="15">
        <v>41873</v>
      </c>
      <c r="C271" s="14" t="s">
        <v>59</v>
      </c>
      <c r="D271" s="14" t="s">
        <v>61</v>
      </c>
      <c r="E271" s="14" t="s">
        <v>100</v>
      </c>
      <c r="F271" s="14" t="s">
        <v>115</v>
      </c>
      <c r="G271" s="14" t="s">
        <v>56</v>
      </c>
      <c r="H271" s="14">
        <v>1</v>
      </c>
      <c r="I271" s="16">
        <v>454.08</v>
      </c>
      <c r="J271" s="16">
        <v>220</v>
      </c>
      <c r="K271" s="16">
        <v>454.08</v>
      </c>
      <c r="L271" s="16">
        <v>234.08</v>
      </c>
      <c r="M271" s="14">
        <v>2014</v>
      </c>
      <c r="N271" s="14">
        <v>8</v>
      </c>
      <c r="O271" s="14" t="s">
        <v>77</v>
      </c>
      <c r="P271" s="14" t="s">
        <v>88</v>
      </c>
    </row>
    <row r="272" spans="1:16" x14ac:dyDescent="0.35">
      <c r="A272" s="14" t="s">
        <v>402</v>
      </c>
      <c r="B272" s="15">
        <v>41873</v>
      </c>
      <c r="C272" s="14" t="s">
        <v>53</v>
      </c>
      <c r="D272" s="14" t="s">
        <v>64</v>
      </c>
      <c r="E272" s="14" t="s">
        <v>139</v>
      </c>
      <c r="F272" s="14" t="s">
        <v>128</v>
      </c>
      <c r="G272" s="14" t="s">
        <v>54</v>
      </c>
      <c r="H272" s="14">
        <v>3</v>
      </c>
      <c r="I272" s="16">
        <v>90.32</v>
      </c>
      <c r="J272" s="16">
        <v>40</v>
      </c>
      <c r="K272" s="16">
        <v>270.95999999999998</v>
      </c>
      <c r="L272" s="16">
        <v>150.96</v>
      </c>
      <c r="M272" s="14">
        <v>2014</v>
      </c>
      <c r="N272" s="14">
        <v>8</v>
      </c>
      <c r="O272" s="14" t="s">
        <v>77</v>
      </c>
      <c r="P272" s="14" t="s">
        <v>88</v>
      </c>
    </row>
    <row r="273" spans="1:16" x14ac:dyDescent="0.35">
      <c r="A273" s="14" t="s">
        <v>403</v>
      </c>
      <c r="B273" s="15">
        <v>41875</v>
      </c>
      <c r="C273" s="14" t="s">
        <v>57</v>
      </c>
      <c r="D273" s="14" t="s">
        <v>66</v>
      </c>
      <c r="E273" s="14" t="s">
        <v>91</v>
      </c>
      <c r="F273" s="14" t="s">
        <v>142</v>
      </c>
      <c r="G273" s="14" t="s">
        <v>58</v>
      </c>
      <c r="H273" s="14">
        <v>2</v>
      </c>
      <c r="I273" s="16">
        <v>12.12</v>
      </c>
      <c r="J273" s="16">
        <v>4</v>
      </c>
      <c r="K273" s="16">
        <v>24.24</v>
      </c>
      <c r="L273" s="16">
        <v>16.239999999999998</v>
      </c>
      <c r="M273" s="14">
        <v>2014</v>
      </c>
      <c r="N273" s="14">
        <v>8</v>
      </c>
      <c r="O273" s="14" t="s">
        <v>77</v>
      </c>
      <c r="P273" s="14" t="s">
        <v>88</v>
      </c>
    </row>
    <row r="274" spans="1:16" x14ac:dyDescent="0.35">
      <c r="A274" s="14" t="s">
        <v>404</v>
      </c>
      <c r="B274" s="15">
        <v>41876</v>
      </c>
      <c r="C274" s="14" t="s">
        <v>53</v>
      </c>
      <c r="D274" s="14" t="s">
        <v>67</v>
      </c>
      <c r="E274" s="14" t="s">
        <v>98</v>
      </c>
      <c r="F274" s="14" t="s">
        <v>132</v>
      </c>
      <c r="G274" s="14" t="s">
        <v>56</v>
      </c>
      <c r="H274" s="14">
        <v>3</v>
      </c>
      <c r="I274" s="16">
        <v>38.590000000000003</v>
      </c>
      <c r="J274" s="16">
        <v>15</v>
      </c>
      <c r="K274" s="16">
        <v>115.77</v>
      </c>
      <c r="L274" s="16">
        <v>70.77</v>
      </c>
      <c r="M274" s="14">
        <v>2014</v>
      </c>
      <c r="N274" s="14">
        <v>8</v>
      </c>
      <c r="O274" s="14" t="s">
        <v>77</v>
      </c>
      <c r="P274" s="14" t="s">
        <v>88</v>
      </c>
    </row>
    <row r="275" spans="1:16" x14ac:dyDescent="0.35">
      <c r="A275" s="14" t="s">
        <v>405</v>
      </c>
      <c r="B275" s="15">
        <v>41880</v>
      </c>
      <c r="C275" s="14" t="s">
        <v>53</v>
      </c>
      <c r="D275" s="14" t="s">
        <v>67</v>
      </c>
      <c r="E275" s="14" t="s">
        <v>146</v>
      </c>
      <c r="F275" s="14" t="s">
        <v>142</v>
      </c>
      <c r="G275" s="14" t="s">
        <v>58</v>
      </c>
      <c r="H275" s="14">
        <v>3</v>
      </c>
      <c r="I275" s="16">
        <v>12.32</v>
      </c>
      <c r="J275" s="16">
        <v>4</v>
      </c>
      <c r="K275" s="16">
        <v>36.96</v>
      </c>
      <c r="L275" s="16">
        <v>24.96</v>
      </c>
      <c r="M275" s="14">
        <v>2014</v>
      </c>
      <c r="N275" s="14">
        <v>8</v>
      </c>
      <c r="O275" s="14" t="s">
        <v>77</v>
      </c>
      <c r="P275" s="14" t="s">
        <v>88</v>
      </c>
    </row>
    <row r="276" spans="1:16" x14ac:dyDescent="0.35">
      <c r="A276" s="14" t="s">
        <v>406</v>
      </c>
      <c r="B276" s="15">
        <v>41881</v>
      </c>
      <c r="C276" s="14" t="s">
        <v>55</v>
      </c>
      <c r="D276" s="14" t="s">
        <v>65</v>
      </c>
      <c r="E276" s="14" t="s">
        <v>150</v>
      </c>
      <c r="F276" s="14" t="s">
        <v>132</v>
      </c>
      <c r="G276" s="14" t="s">
        <v>56</v>
      </c>
      <c r="H276" s="14">
        <v>1</v>
      </c>
      <c r="I276" s="16">
        <v>39.39</v>
      </c>
      <c r="J276" s="16">
        <v>15</v>
      </c>
      <c r="K276" s="16">
        <v>39.39</v>
      </c>
      <c r="L276" s="16">
        <v>24.39</v>
      </c>
      <c r="M276" s="14">
        <v>2014</v>
      </c>
      <c r="N276" s="14">
        <v>8</v>
      </c>
      <c r="O276" s="14" t="s">
        <v>77</v>
      </c>
      <c r="P276" s="14" t="s">
        <v>88</v>
      </c>
    </row>
    <row r="277" spans="1:16" x14ac:dyDescent="0.35">
      <c r="A277" s="14" t="s">
        <v>407</v>
      </c>
      <c r="B277" s="15">
        <v>41881</v>
      </c>
      <c r="C277" s="14" t="s">
        <v>53</v>
      </c>
      <c r="D277" s="14" t="s">
        <v>67</v>
      </c>
      <c r="E277" s="14" t="s">
        <v>100</v>
      </c>
      <c r="F277" s="14" t="s">
        <v>156</v>
      </c>
      <c r="G277" s="14" t="s">
        <v>54</v>
      </c>
      <c r="H277" s="14">
        <v>2</v>
      </c>
      <c r="I277" s="16">
        <v>51.44</v>
      </c>
      <c r="J277" s="16">
        <v>18</v>
      </c>
      <c r="K277" s="16">
        <v>102.88</v>
      </c>
      <c r="L277" s="16">
        <v>66.88</v>
      </c>
      <c r="M277" s="14">
        <v>2014</v>
      </c>
      <c r="N277" s="14">
        <v>8</v>
      </c>
      <c r="O277" s="14" t="s">
        <v>77</v>
      </c>
      <c r="P277" s="14" t="s">
        <v>88</v>
      </c>
    </row>
    <row r="278" spans="1:16" x14ac:dyDescent="0.35">
      <c r="A278" s="14" t="s">
        <v>408</v>
      </c>
      <c r="B278" s="15">
        <v>41882</v>
      </c>
      <c r="C278" s="14" t="s">
        <v>59</v>
      </c>
      <c r="D278" s="14" t="s">
        <v>68</v>
      </c>
      <c r="E278" s="14" t="s">
        <v>164</v>
      </c>
      <c r="F278" s="14" t="s">
        <v>132</v>
      </c>
      <c r="G278" s="14" t="s">
        <v>56</v>
      </c>
      <c r="H278" s="14">
        <v>1</v>
      </c>
      <c r="I278" s="16">
        <v>38.65</v>
      </c>
      <c r="J278" s="16">
        <v>15</v>
      </c>
      <c r="K278" s="16">
        <v>38.65</v>
      </c>
      <c r="L278" s="16">
        <v>23.65</v>
      </c>
      <c r="M278" s="14">
        <v>2014</v>
      </c>
      <c r="N278" s="14">
        <v>8</v>
      </c>
      <c r="O278" s="14" t="s">
        <v>77</v>
      </c>
      <c r="P278" s="14" t="s">
        <v>88</v>
      </c>
    </row>
    <row r="279" spans="1:16" x14ac:dyDescent="0.35">
      <c r="A279" s="14" t="s">
        <v>409</v>
      </c>
      <c r="B279" s="15">
        <v>41884</v>
      </c>
      <c r="C279" s="14" t="s">
        <v>57</v>
      </c>
      <c r="D279" s="14" t="s">
        <v>62</v>
      </c>
      <c r="E279" s="14" t="s">
        <v>164</v>
      </c>
      <c r="F279" s="14" t="s">
        <v>118</v>
      </c>
      <c r="G279" s="14" t="s">
        <v>54</v>
      </c>
      <c r="H279" s="14">
        <v>1</v>
      </c>
      <c r="I279" s="16">
        <v>28.62</v>
      </c>
      <c r="J279" s="16">
        <v>12</v>
      </c>
      <c r="K279" s="16">
        <v>28.62</v>
      </c>
      <c r="L279" s="16">
        <v>16.62</v>
      </c>
      <c r="M279" s="14">
        <v>2014</v>
      </c>
      <c r="N279" s="14">
        <v>9</v>
      </c>
      <c r="O279" s="14" t="s">
        <v>78</v>
      </c>
      <c r="P279" s="14" t="s">
        <v>88</v>
      </c>
    </row>
    <row r="280" spans="1:16" x14ac:dyDescent="0.35">
      <c r="A280" s="14" t="s">
        <v>410</v>
      </c>
      <c r="B280" s="15">
        <v>41885</v>
      </c>
      <c r="C280" s="14" t="s">
        <v>55</v>
      </c>
      <c r="D280" s="14" t="s">
        <v>63</v>
      </c>
      <c r="E280" s="14" t="s">
        <v>89</v>
      </c>
      <c r="F280" s="14" t="s">
        <v>142</v>
      </c>
      <c r="G280" s="14" t="s">
        <v>58</v>
      </c>
      <c r="H280" s="14">
        <v>4</v>
      </c>
      <c r="I280" s="16">
        <v>12.47</v>
      </c>
      <c r="J280" s="16">
        <v>4</v>
      </c>
      <c r="K280" s="16">
        <v>49.88</v>
      </c>
      <c r="L280" s="16">
        <v>33.880000000000003</v>
      </c>
      <c r="M280" s="14">
        <v>2014</v>
      </c>
      <c r="N280" s="14">
        <v>9</v>
      </c>
      <c r="O280" s="14" t="s">
        <v>78</v>
      </c>
      <c r="P280" s="14" t="s">
        <v>88</v>
      </c>
    </row>
    <row r="281" spans="1:16" x14ac:dyDescent="0.35">
      <c r="A281" s="14" t="s">
        <v>411</v>
      </c>
      <c r="B281" s="15">
        <v>41885</v>
      </c>
      <c r="C281" s="14" t="s">
        <v>55</v>
      </c>
      <c r="D281" s="14" t="s">
        <v>65</v>
      </c>
      <c r="E281" s="14" t="s">
        <v>139</v>
      </c>
      <c r="F281" s="14" t="s">
        <v>156</v>
      </c>
      <c r="G281" s="14" t="s">
        <v>54</v>
      </c>
      <c r="H281" s="14">
        <v>1</v>
      </c>
      <c r="I281" s="16">
        <v>47.72</v>
      </c>
      <c r="J281" s="16">
        <v>18</v>
      </c>
      <c r="K281" s="16">
        <v>47.72</v>
      </c>
      <c r="L281" s="16">
        <v>29.72</v>
      </c>
      <c r="M281" s="14">
        <v>2014</v>
      </c>
      <c r="N281" s="14">
        <v>9</v>
      </c>
      <c r="O281" s="14" t="s">
        <v>78</v>
      </c>
      <c r="P281" s="14" t="s">
        <v>88</v>
      </c>
    </row>
    <row r="282" spans="1:16" x14ac:dyDescent="0.35">
      <c r="A282" s="14" t="s">
        <v>412</v>
      </c>
      <c r="B282" s="15">
        <v>41885</v>
      </c>
      <c r="C282" s="14" t="s">
        <v>59</v>
      </c>
      <c r="D282" s="14" t="s">
        <v>68</v>
      </c>
      <c r="E282" s="14" t="s">
        <v>153</v>
      </c>
      <c r="F282" s="14" t="s">
        <v>132</v>
      </c>
      <c r="G282" s="14" t="s">
        <v>56</v>
      </c>
      <c r="H282" s="14">
        <v>2</v>
      </c>
      <c r="I282" s="16">
        <v>40.130000000000003</v>
      </c>
      <c r="J282" s="16">
        <v>15</v>
      </c>
      <c r="K282" s="16">
        <v>80.260000000000005</v>
      </c>
      <c r="L282" s="16">
        <v>50.26</v>
      </c>
      <c r="M282" s="14">
        <v>2014</v>
      </c>
      <c r="N282" s="14">
        <v>9</v>
      </c>
      <c r="O282" s="14" t="s">
        <v>78</v>
      </c>
      <c r="P282" s="14" t="s">
        <v>88</v>
      </c>
    </row>
    <row r="283" spans="1:16" x14ac:dyDescent="0.35">
      <c r="A283" s="14" t="s">
        <v>413</v>
      </c>
      <c r="B283" s="15">
        <v>41885</v>
      </c>
      <c r="C283" s="14" t="s">
        <v>59</v>
      </c>
      <c r="D283" s="14" t="s">
        <v>68</v>
      </c>
      <c r="E283" s="14" t="s">
        <v>153</v>
      </c>
      <c r="F283" s="14" t="s">
        <v>125</v>
      </c>
      <c r="G283" s="14" t="s">
        <v>56</v>
      </c>
      <c r="H283" s="14">
        <v>1</v>
      </c>
      <c r="I283" s="16">
        <v>164.52</v>
      </c>
      <c r="J283" s="16">
        <v>70</v>
      </c>
      <c r="K283" s="16">
        <v>164.52</v>
      </c>
      <c r="L283" s="16">
        <v>94.52</v>
      </c>
      <c r="M283" s="14">
        <v>2014</v>
      </c>
      <c r="N283" s="14">
        <v>9</v>
      </c>
      <c r="O283" s="14" t="s">
        <v>78</v>
      </c>
      <c r="P283" s="14" t="s">
        <v>88</v>
      </c>
    </row>
    <row r="284" spans="1:16" x14ac:dyDescent="0.35">
      <c r="A284" s="14" t="s">
        <v>414</v>
      </c>
      <c r="B284" s="15">
        <v>41886</v>
      </c>
      <c r="C284" s="14" t="s">
        <v>57</v>
      </c>
      <c r="D284" s="14" t="s">
        <v>66</v>
      </c>
      <c r="E284" s="14" t="s">
        <v>91</v>
      </c>
      <c r="F284" s="14" t="s">
        <v>132</v>
      </c>
      <c r="G284" s="14" t="s">
        <v>56</v>
      </c>
      <c r="H284" s="14">
        <v>1</v>
      </c>
      <c r="I284" s="16">
        <v>40.270000000000003</v>
      </c>
      <c r="J284" s="16">
        <v>15</v>
      </c>
      <c r="K284" s="16">
        <v>40.270000000000003</v>
      </c>
      <c r="L284" s="16">
        <v>25.27</v>
      </c>
      <c r="M284" s="14">
        <v>2014</v>
      </c>
      <c r="N284" s="14">
        <v>9</v>
      </c>
      <c r="O284" s="14" t="s">
        <v>78</v>
      </c>
      <c r="P284" s="14" t="s">
        <v>88</v>
      </c>
    </row>
    <row r="285" spans="1:16" x14ac:dyDescent="0.35">
      <c r="A285" s="14" t="s">
        <v>415</v>
      </c>
      <c r="B285" s="15">
        <v>41887</v>
      </c>
      <c r="C285" s="14" t="s">
        <v>55</v>
      </c>
      <c r="D285" s="14" t="s">
        <v>65</v>
      </c>
      <c r="E285" s="14" t="s">
        <v>91</v>
      </c>
      <c r="F285" s="14" t="s">
        <v>132</v>
      </c>
      <c r="G285" s="14" t="s">
        <v>56</v>
      </c>
      <c r="H285" s="14">
        <v>1</v>
      </c>
      <c r="I285" s="16">
        <v>37.33</v>
      </c>
      <c r="J285" s="16">
        <v>15</v>
      </c>
      <c r="K285" s="16">
        <v>37.33</v>
      </c>
      <c r="L285" s="16">
        <v>22.33</v>
      </c>
      <c r="M285" s="14">
        <v>2014</v>
      </c>
      <c r="N285" s="14">
        <v>9</v>
      </c>
      <c r="O285" s="14" t="s">
        <v>78</v>
      </c>
      <c r="P285" s="14" t="s">
        <v>88</v>
      </c>
    </row>
    <row r="286" spans="1:16" x14ac:dyDescent="0.35">
      <c r="A286" s="14" t="s">
        <v>416</v>
      </c>
      <c r="B286" s="15">
        <v>41887</v>
      </c>
      <c r="C286" s="14" t="s">
        <v>59</v>
      </c>
      <c r="D286" s="14" t="s">
        <v>63</v>
      </c>
      <c r="E286" s="14" t="s">
        <v>89</v>
      </c>
      <c r="F286" s="14" t="s">
        <v>140</v>
      </c>
      <c r="G286" s="14" t="s">
        <v>56</v>
      </c>
      <c r="H286" s="14">
        <v>2</v>
      </c>
      <c r="I286" s="16">
        <v>184.74</v>
      </c>
      <c r="J286" s="16">
        <v>95</v>
      </c>
      <c r="K286" s="16">
        <v>369.48</v>
      </c>
      <c r="L286" s="16">
        <v>179.48</v>
      </c>
      <c r="M286" s="14">
        <v>2014</v>
      </c>
      <c r="N286" s="14">
        <v>9</v>
      </c>
      <c r="O286" s="14" t="s">
        <v>78</v>
      </c>
      <c r="P286" s="14" t="s">
        <v>88</v>
      </c>
    </row>
    <row r="287" spans="1:16" x14ac:dyDescent="0.35">
      <c r="A287" s="14" t="s">
        <v>417</v>
      </c>
      <c r="B287" s="15">
        <v>41888</v>
      </c>
      <c r="C287" s="14" t="s">
        <v>55</v>
      </c>
      <c r="D287" s="14" t="s">
        <v>65</v>
      </c>
      <c r="E287" s="14" t="s">
        <v>150</v>
      </c>
      <c r="F287" s="14" t="s">
        <v>115</v>
      </c>
      <c r="G287" s="14" t="s">
        <v>56</v>
      </c>
      <c r="H287" s="14">
        <v>1</v>
      </c>
      <c r="I287" s="16">
        <v>464.46</v>
      </c>
      <c r="J287" s="16">
        <v>220</v>
      </c>
      <c r="K287" s="16">
        <v>464.46</v>
      </c>
      <c r="L287" s="16">
        <v>244.46</v>
      </c>
      <c r="M287" s="14">
        <v>2014</v>
      </c>
      <c r="N287" s="14">
        <v>9</v>
      </c>
      <c r="O287" s="14" t="s">
        <v>78</v>
      </c>
      <c r="P287" s="14" t="s">
        <v>88</v>
      </c>
    </row>
    <row r="288" spans="1:16" x14ac:dyDescent="0.35">
      <c r="A288" s="14" t="s">
        <v>418</v>
      </c>
      <c r="B288" s="15">
        <v>41888</v>
      </c>
      <c r="C288" s="14" t="s">
        <v>55</v>
      </c>
      <c r="D288" s="14" t="s">
        <v>63</v>
      </c>
      <c r="E288" s="14" t="s">
        <v>91</v>
      </c>
      <c r="F288" s="14" t="s">
        <v>142</v>
      </c>
      <c r="G288" s="14" t="s">
        <v>58</v>
      </c>
      <c r="H288" s="14">
        <v>3</v>
      </c>
      <c r="I288" s="16">
        <v>12.07</v>
      </c>
      <c r="J288" s="16">
        <v>4</v>
      </c>
      <c r="K288" s="16">
        <v>36.21</v>
      </c>
      <c r="L288" s="16">
        <v>24.21</v>
      </c>
      <c r="M288" s="14">
        <v>2014</v>
      </c>
      <c r="N288" s="14">
        <v>9</v>
      </c>
      <c r="O288" s="14" t="s">
        <v>78</v>
      </c>
      <c r="P288" s="14" t="s">
        <v>88</v>
      </c>
    </row>
    <row r="289" spans="1:16" x14ac:dyDescent="0.35">
      <c r="A289" s="14" t="s">
        <v>419</v>
      </c>
      <c r="B289" s="15">
        <v>41890</v>
      </c>
      <c r="C289" s="14" t="s">
        <v>59</v>
      </c>
      <c r="D289" s="14" t="s">
        <v>61</v>
      </c>
      <c r="E289" s="14" t="s">
        <v>134</v>
      </c>
      <c r="F289" s="14" t="s">
        <v>137</v>
      </c>
      <c r="G289" s="14" t="s">
        <v>54</v>
      </c>
      <c r="H289" s="14">
        <v>1</v>
      </c>
      <c r="I289" s="16">
        <v>337.65</v>
      </c>
      <c r="J289" s="16">
        <v>180</v>
      </c>
      <c r="K289" s="16">
        <v>337.65</v>
      </c>
      <c r="L289" s="16">
        <v>157.65</v>
      </c>
      <c r="M289" s="14">
        <v>2014</v>
      </c>
      <c r="N289" s="14">
        <v>9</v>
      </c>
      <c r="O289" s="14" t="s">
        <v>78</v>
      </c>
      <c r="P289" s="14" t="s">
        <v>88</v>
      </c>
    </row>
    <row r="290" spans="1:16" x14ac:dyDescent="0.35">
      <c r="A290" s="14" t="s">
        <v>420</v>
      </c>
      <c r="B290" s="15">
        <v>41890</v>
      </c>
      <c r="C290" s="14" t="s">
        <v>59</v>
      </c>
      <c r="D290" s="14" t="s">
        <v>68</v>
      </c>
      <c r="E290" s="14" t="s">
        <v>144</v>
      </c>
      <c r="F290" s="14" t="s">
        <v>140</v>
      </c>
      <c r="G290" s="14" t="s">
        <v>56</v>
      </c>
      <c r="H290" s="14">
        <v>3</v>
      </c>
      <c r="I290" s="16">
        <v>183.66</v>
      </c>
      <c r="J290" s="16">
        <v>95</v>
      </c>
      <c r="K290" s="16">
        <v>550.98</v>
      </c>
      <c r="L290" s="16">
        <v>265.98</v>
      </c>
      <c r="M290" s="14">
        <v>2014</v>
      </c>
      <c r="N290" s="14">
        <v>9</v>
      </c>
      <c r="O290" s="14" t="s">
        <v>78</v>
      </c>
      <c r="P290" s="14" t="s">
        <v>88</v>
      </c>
    </row>
    <row r="291" spans="1:16" x14ac:dyDescent="0.35">
      <c r="A291" s="14" t="s">
        <v>421</v>
      </c>
      <c r="B291" s="15">
        <v>41890</v>
      </c>
      <c r="C291" s="14" t="s">
        <v>59</v>
      </c>
      <c r="D291" s="14" t="s">
        <v>61</v>
      </c>
      <c r="E291" s="14" t="s">
        <v>144</v>
      </c>
      <c r="F291" s="14" t="s">
        <v>132</v>
      </c>
      <c r="G291" s="14" t="s">
        <v>56</v>
      </c>
      <c r="H291" s="14">
        <v>1</v>
      </c>
      <c r="I291" s="16">
        <v>37.340000000000003</v>
      </c>
      <c r="J291" s="16">
        <v>15</v>
      </c>
      <c r="K291" s="16">
        <v>37.340000000000003</v>
      </c>
      <c r="L291" s="16">
        <v>22.34</v>
      </c>
      <c r="M291" s="14">
        <v>2014</v>
      </c>
      <c r="N291" s="14">
        <v>9</v>
      </c>
      <c r="O291" s="14" t="s">
        <v>78</v>
      </c>
      <c r="P291" s="14" t="s">
        <v>88</v>
      </c>
    </row>
    <row r="292" spans="1:16" x14ac:dyDescent="0.35">
      <c r="A292" s="14" t="s">
        <v>422</v>
      </c>
      <c r="B292" s="15">
        <v>41893</v>
      </c>
      <c r="C292" s="14" t="s">
        <v>57</v>
      </c>
      <c r="D292" s="14" t="s">
        <v>62</v>
      </c>
      <c r="E292" s="14" t="s">
        <v>144</v>
      </c>
      <c r="F292" s="14" t="s">
        <v>125</v>
      </c>
      <c r="G292" s="14" t="s">
        <v>56</v>
      </c>
      <c r="H292" s="14">
        <v>3</v>
      </c>
      <c r="I292" s="16">
        <v>156.88</v>
      </c>
      <c r="J292" s="16">
        <v>70</v>
      </c>
      <c r="K292" s="16">
        <v>470.64</v>
      </c>
      <c r="L292" s="16">
        <v>260.64</v>
      </c>
      <c r="M292" s="14">
        <v>2014</v>
      </c>
      <c r="N292" s="14">
        <v>9</v>
      </c>
      <c r="O292" s="14" t="s">
        <v>78</v>
      </c>
      <c r="P292" s="14" t="s">
        <v>88</v>
      </c>
    </row>
    <row r="293" spans="1:16" x14ac:dyDescent="0.35">
      <c r="A293" s="14" t="s">
        <v>423</v>
      </c>
      <c r="B293" s="15">
        <v>41895</v>
      </c>
      <c r="C293" s="14" t="s">
        <v>53</v>
      </c>
      <c r="D293" s="14" t="s">
        <v>67</v>
      </c>
      <c r="E293" s="14" t="s">
        <v>98</v>
      </c>
      <c r="F293" s="14" t="s">
        <v>156</v>
      </c>
      <c r="G293" s="14" t="s">
        <v>54</v>
      </c>
      <c r="H293" s="14">
        <v>3</v>
      </c>
      <c r="I293" s="16">
        <v>47.98</v>
      </c>
      <c r="J293" s="16">
        <v>18</v>
      </c>
      <c r="K293" s="16">
        <v>143.94</v>
      </c>
      <c r="L293" s="16">
        <v>89.94</v>
      </c>
      <c r="M293" s="14">
        <v>2014</v>
      </c>
      <c r="N293" s="14">
        <v>9</v>
      </c>
      <c r="O293" s="14" t="s">
        <v>78</v>
      </c>
      <c r="P293" s="14" t="s">
        <v>88</v>
      </c>
    </row>
    <row r="294" spans="1:16" x14ac:dyDescent="0.35">
      <c r="A294" s="14" t="s">
        <v>424</v>
      </c>
      <c r="B294" s="15">
        <v>41895</v>
      </c>
      <c r="C294" s="14" t="s">
        <v>53</v>
      </c>
      <c r="D294" s="14" t="s">
        <v>67</v>
      </c>
      <c r="E294" s="14" t="s">
        <v>89</v>
      </c>
      <c r="F294" s="14" t="s">
        <v>125</v>
      </c>
      <c r="G294" s="14" t="s">
        <v>56</v>
      </c>
      <c r="H294" s="14">
        <v>4</v>
      </c>
      <c r="I294" s="16">
        <v>164.39</v>
      </c>
      <c r="J294" s="16">
        <v>70</v>
      </c>
      <c r="K294" s="16">
        <v>657.56</v>
      </c>
      <c r="L294" s="16">
        <v>377.56</v>
      </c>
      <c r="M294" s="14">
        <v>2014</v>
      </c>
      <c r="N294" s="14">
        <v>9</v>
      </c>
      <c r="O294" s="14" t="s">
        <v>78</v>
      </c>
      <c r="P294" s="14" t="s">
        <v>88</v>
      </c>
    </row>
    <row r="295" spans="1:16" x14ac:dyDescent="0.35">
      <c r="A295" s="14" t="s">
        <v>425</v>
      </c>
      <c r="B295" s="15">
        <v>41898</v>
      </c>
      <c r="C295" s="14" t="s">
        <v>59</v>
      </c>
      <c r="D295" s="14" t="s">
        <v>68</v>
      </c>
      <c r="E295" s="14" t="s">
        <v>100</v>
      </c>
      <c r="F295" s="14" t="s">
        <v>128</v>
      </c>
      <c r="G295" s="14" t="s">
        <v>54</v>
      </c>
      <c r="H295" s="14">
        <v>4</v>
      </c>
      <c r="I295" s="16">
        <v>91.17</v>
      </c>
      <c r="J295" s="16">
        <v>40</v>
      </c>
      <c r="K295" s="16">
        <v>364.68</v>
      </c>
      <c r="L295" s="16">
        <v>204.68</v>
      </c>
      <c r="M295" s="14">
        <v>2014</v>
      </c>
      <c r="N295" s="14">
        <v>9</v>
      </c>
      <c r="O295" s="14" t="s">
        <v>78</v>
      </c>
      <c r="P295" s="14" t="s">
        <v>88</v>
      </c>
    </row>
    <row r="296" spans="1:16" x14ac:dyDescent="0.35">
      <c r="A296" s="14" t="s">
        <v>426</v>
      </c>
      <c r="B296" s="15">
        <v>41898</v>
      </c>
      <c r="C296" s="14" t="s">
        <v>59</v>
      </c>
      <c r="D296" s="14" t="s">
        <v>61</v>
      </c>
      <c r="E296" s="14" t="s">
        <v>87</v>
      </c>
      <c r="F296" s="14" t="s">
        <v>118</v>
      </c>
      <c r="G296" s="14" t="s">
        <v>54</v>
      </c>
      <c r="H296" s="14">
        <v>2</v>
      </c>
      <c r="I296" s="16">
        <v>27.73</v>
      </c>
      <c r="J296" s="16">
        <v>12</v>
      </c>
      <c r="K296" s="16">
        <v>55.46</v>
      </c>
      <c r="L296" s="16">
        <v>31.46</v>
      </c>
      <c r="M296" s="14">
        <v>2014</v>
      </c>
      <c r="N296" s="14">
        <v>9</v>
      </c>
      <c r="O296" s="14" t="s">
        <v>78</v>
      </c>
      <c r="P296" s="14" t="s">
        <v>88</v>
      </c>
    </row>
    <row r="297" spans="1:16" x14ac:dyDescent="0.35">
      <c r="A297" s="14" t="s">
        <v>427</v>
      </c>
      <c r="B297" s="15">
        <v>41899</v>
      </c>
      <c r="C297" s="14" t="s">
        <v>57</v>
      </c>
      <c r="D297" s="14" t="s">
        <v>64</v>
      </c>
      <c r="E297" s="14" t="s">
        <v>153</v>
      </c>
      <c r="F297" s="14" t="s">
        <v>118</v>
      </c>
      <c r="G297" s="14" t="s">
        <v>54</v>
      </c>
      <c r="H297" s="14">
        <v>4</v>
      </c>
      <c r="I297" s="16">
        <v>28.62</v>
      </c>
      <c r="J297" s="16">
        <v>12</v>
      </c>
      <c r="K297" s="16">
        <v>114.48</v>
      </c>
      <c r="L297" s="16">
        <v>66.48</v>
      </c>
      <c r="M297" s="14">
        <v>2014</v>
      </c>
      <c r="N297" s="14">
        <v>9</v>
      </c>
      <c r="O297" s="14" t="s">
        <v>78</v>
      </c>
      <c r="P297" s="14" t="s">
        <v>88</v>
      </c>
    </row>
    <row r="298" spans="1:16" x14ac:dyDescent="0.35">
      <c r="A298" s="14" t="s">
        <v>428</v>
      </c>
      <c r="B298" s="15">
        <v>41900</v>
      </c>
      <c r="C298" s="14" t="s">
        <v>55</v>
      </c>
      <c r="D298" s="14" t="s">
        <v>65</v>
      </c>
      <c r="E298" s="14" t="s">
        <v>114</v>
      </c>
      <c r="F298" s="14" t="s">
        <v>115</v>
      </c>
      <c r="G298" s="14" t="s">
        <v>56</v>
      </c>
      <c r="H298" s="14">
        <v>1</v>
      </c>
      <c r="I298" s="16">
        <v>448.73</v>
      </c>
      <c r="J298" s="16">
        <v>220</v>
      </c>
      <c r="K298" s="16">
        <v>448.73</v>
      </c>
      <c r="L298" s="16">
        <v>228.73</v>
      </c>
      <c r="M298" s="14">
        <v>2014</v>
      </c>
      <c r="N298" s="14">
        <v>9</v>
      </c>
      <c r="O298" s="14" t="s">
        <v>78</v>
      </c>
      <c r="P298" s="14" t="s">
        <v>88</v>
      </c>
    </row>
    <row r="299" spans="1:16" x14ac:dyDescent="0.35">
      <c r="A299" s="14" t="s">
        <v>429</v>
      </c>
      <c r="B299" s="15">
        <v>41902</v>
      </c>
      <c r="C299" s="14" t="s">
        <v>57</v>
      </c>
      <c r="D299" s="14" t="s">
        <v>62</v>
      </c>
      <c r="E299" s="14" t="s">
        <v>117</v>
      </c>
      <c r="F299" s="14" t="s">
        <v>123</v>
      </c>
      <c r="G299" s="14" t="s">
        <v>54</v>
      </c>
      <c r="H299" s="14">
        <v>1</v>
      </c>
      <c r="I299" s="16">
        <v>70.95</v>
      </c>
      <c r="J299" s="16">
        <v>28</v>
      </c>
      <c r="K299" s="16">
        <v>70.95</v>
      </c>
      <c r="L299" s="16">
        <v>42.95</v>
      </c>
      <c r="M299" s="14">
        <v>2014</v>
      </c>
      <c r="N299" s="14">
        <v>9</v>
      </c>
      <c r="O299" s="14" t="s">
        <v>78</v>
      </c>
      <c r="P299" s="14" t="s">
        <v>88</v>
      </c>
    </row>
    <row r="300" spans="1:16" x14ac:dyDescent="0.35">
      <c r="A300" s="14" t="s">
        <v>430</v>
      </c>
      <c r="B300" s="15">
        <v>41903</v>
      </c>
      <c r="C300" s="14" t="s">
        <v>55</v>
      </c>
      <c r="D300" s="14" t="s">
        <v>65</v>
      </c>
      <c r="E300" s="14" t="s">
        <v>134</v>
      </c>
      <c r="F300" s="14" t="s">
        <v>156</v>
      </c>
      <c r="G300" s="14" t="s">
        <v>54</v>
      </c>
      <c r="H300" s="14">
        <v>2</v>
      </c>
      <c r="I300" s="16">
        <v>50.09</v>
      </c>
      <c r="J300" s="16">
        <v>18</v>
      </c>
      <c r="K300" s="16">
        <v>100.18</v>
      </c>
      <c r="L300" s="16">
        <v>64.180000000000007</v>
      </c>
      <c r="M300" s="14">
        <v>2014</v>
      </c>
      <c r="N300" s="14">
        <v>9</v>
      </c>
      <c r="O300" s="14" t="s">
        <v>78</v>
      </c>
      <c r="P300" s="14" t="s">
        <v>88</v>
      </c>
    </row>
    <row r="301" spans="1:16" x14ac:dyDescent="0.35">
      <c r="A301" s="14" t="s">
        <v>431</v>
      </c>
      <c r="B301" s="15">
        <v>41903</v>
      </c>
      <c r="C301" s="14" t="s">
        <v>55</v>
      </c>
      <c r="D301" s="14" t="s">
        <v>63</v>
      </c>
      <c r="E301" s="14" t="s">
        <v>144</v>
      </c>
      <c r="F301" s="14" t="s">
        <v>128</v>
      </c>
      <c r="G301" s="14" t="s">
        <v>54</v>
      </c>
      <c r="H301" s="14">
        <v>1</v>
      </c>
      <c r="I301" s="16">
        <v>92.96</v>
      </c>
      <c r="J301" s="16">
        <v>40</v>
      </c>
      <c r="K301" s="16">
        <v>92.96</v>
      </c>
      <c r="L301" s="16">
        <v>52.96</v>
      </c>
      <c r="M301" s="14">
        <v>2014</v>
      </c>
      <c r="N301" s="14">
        <v>9</v>
      </c>
      <c r="O301" s="14" t="s">
        <v>78</v>
      </c>
      <c r="P301" s="14" t="s">
        <v>88</v>
      </c>
    </row>
    <row r="302" spans="1:16" x14ac:dyDescent="0.35">
      <c r="A302" s="14" t="s">
        <v>432</v>
      </c>
      <c r="B302" s="15">
        <v>41904</v>
      </c>
      <c r="C302" s="14" t="s">
        <v>59</v>
      </c>
      <c r="D302" s="14" t="s">
        <v>61</v>
      </c>
      <c r="E302" s="14" t="s">
        <v>150</v>
      </c>
      <c r="F302" s="14" t="s">
        <v>115</v>
      </c>
      <c r="G302" s="14" t="s">
        <v>56</v>
      </c>
      <c r="H302" s="14">
        <v>5</v>
      </c>
      <c r="I302" s="16">
        <v>462.85</v>
      </c>
      <c r="J302" s="16">
        <v>220</v>
      </c>
      <c r="K302" s="16">
        <v>2314.25</v>
      </c>
      <c r="L302" s="16">
        <v>1214.25</v>
      </c>
      <c r="M302" s="14">
        <v>2014</v>
      </c>
      <c r="N302" s="14">
        <v>9</v>
      </c>
      <c r="O302" s="14" t="s">
        <v>78</v>
      </c>
      <c r="P302" s="14" t="s">
        <v>92</v>
      </c>
    </row>
    <row r="303" spans="1:16" x14ac:dyDescent="0.35">
      <c r="A303" s="14" t="s">
        <v>433</v>
      </c>
      <c r="B303" s="15">
        <v>41904</v>
      </c>
      <c r="C303" s="14" t="s">
        <v>57</v>
      </c>
      <c r="D303" s="14" t="s">
        <v>66</v>
      </c>
      <c r="E303" s="14" t="s">
        <v>100</v>
      </c>
      <c r="F303" s="14" t="s">
        <v>128</v>
      </c>
      <c r="G303" s="14" t="s">
        <v>54</v>
      </c>
      <c r="H303" s="14">
        <v>2</v>
      </c>
      <c r="I303" s="16">
        <v>87.19</v>
      </c>
      <c r="J303" s="16">
        <v>40</v>
      </c>
      <c r="K303" s="16">
        <v>174.38</v>
      </c>
      <c r="L303" s="16">
        <v>94.38</v>
      </c>
      <c r="M303" s="14">
        <v>2014</v>
      </c>
      <c r="N303" s="14">
        <v>9</v>
      </c>
      <c r="O303" s="14" t="s">
        <v>78</v>
      </c>
      <c r="P303" s="14" t="s">
        <v>88</v>
      </c>
    </row>
    <row r="304" spans="1:16" x14ac:dyDescent="0.35">
      <c r="A304" s="14" t="s">
        <v>434</v>
      </c>
      <c r="B304" s="15">
        <v>41905</v>
      </c>
      <c r="C304" s="14" t="s">
        <v>57</v>
      </c>
      <c r="D304" s="14" t="s">
        <v>66</v>
      </c>
      <c r="E304" s="14" t="s">
        <v>134</v>
      </c>
      <c r="F304" s="14" t="s">
        <v>128</v>
      </c>
      <c r="G304" s="14" t="s">
        <v>54</v>
      </c>
      <c r="H304" s="14">
        <v>3</v>
      </c>
      <c r="I304" s="16">
        <v>86.36</v>
      </c>
      <c r="J304" s="16">
        <v>40</v>
      </c>
      <c r="K304" s="16">
        <v>259.08</v>
      </c>
      <c r="L304" s="16">
        <v>139.08000000000001</v>
      </c>
      <c r="M304" s="14">
        <v>2014</v>
      </c>
      <c r="N304" s="14">
        <v>9</v>
      </c>
      <c r="O304" s="14" t="s">
        <v>78</v>
      </c>
      <c r="P304" s="14" t="s">
        <v>88</v>
      </c>
    </row>
    <row r="305" spans="1:16" x14ac:dyDescent="0.35">
      <c r="A305" s="14" t="s">
        <v>435</v>
      </c>
      <c r="B305" s="15">
        <v>41906</v>
      </c>
      <c r="C305" s="14" t="s">
        <v>57</v>
      </c>
      <c r="D305" s="14" t="s">
        <v>66</v>
      </c>
      <c r="E305" s="14" t="s">
        <v>91</v>
      </c>
      <c r="F305" s="14" t="s">
        <v>115</v>
      </c>
      <c r="G305" s="14" t="s">
        <v>56</v>
      </c>
      <c r="H305" s="14">
        <v>1</v>
      </c>
      <c r="I305" s="16">
        <v>467.02</v>
      </c>
      <c r="J305" s="16">
        <v>220</v>
      </c>
      <c r="K305" s="16">
        <v>467.02</v>
      </c>
      <c r="L305" s="16">
        <v>247.02</v>
      </c>
      <c r="M305" s="14">
        <v>2014</v>
      </c>
      <c r="N305" s="14">
        <v>9</v>
      </c>
      <c r="O305" s="14" t="s">
        <v>78</v>
      </c>
      <c r="P305" s="14" t="s">
        <v>88</v>
      </c>
    </row>
    <row r="306" spans="1:16" x14ac:dyDescent="0.35">
      <c r="A306" s="14" t="s">
        <v>436</v>
      </c>
      <c r="B306" s="15">
        <v>41909</v>
      </c>
      <c r="C306" s="14" t="s">
        <v>55</v>
      </c>
      <c r="D306" s="14" t="s">
        <v>63</v>
      </c>
      <c r="E306" s="14" t="s">
        <v>87</v>
      </c>
      <c r="F306" s="14" t="s">
        <v>115</v>
      </c>
      <c r="G306" s="14" t="s">
        <v>56</v>
      </c>
      <c r="H306" s="14">
        <v>1</v>
      </c>
      <c r="I306" s="16">
        <v>461.64</v>
      </c>
      <c r="J306" s="16">
        <v>220</v>
      </c>
      <c r="K306" s="16">
        <v>461.64</v>
      </c>
      <c r="L306" s="16">
        <v>241.64</v>
      </c>
      <c r="M306" s="14">
        <v>2014</v>
      </c>
      <c r="N306" s="14">
        <v>9</v>
      </c>
      <c r="O306" s="14" t="s">
        <v>78</v>
      </c>
      <c r="P306" s="14" t="s">
        <v>88</v>
      </c>
    </row>
    <row r="307" spans="1:16" x14ac:dyDescent="0.35">
      <c r="A307" s="14" t="s">
        <v>437</v>
      </c>
      <c r="B307" s="15">
        <v>41909</v>
      </c>
      <c r="C307" s="14" t="s">
        <v>57</v>
      </c>
      <c r="D307" s="14" t="s">
        <v>62</v>
      </c>
      <c r="E307" s="14" t="s">
        <v>87</v>
      </c>
      <c r="F307" s="14" t="s">
        <v>125</v>
      </c>
      <c r="G307" s="14" t="s">
        <v>56</v>
      </c>
      <c r="H307" s="14">
        <v>1</v>
      </c>
      <c r="I307" s="16">
        <v>156.82</v>
      </c>
      <c r="J307" s="16">
        <v>70</v>
      </c>
      <c r="K307" s="16">
        <v>156.82</v>
      </c>
      <c r="L307" s="16">
        <v>86.82</v>
      </c>
      <c r="M307" s="14">
        <v>2014</v>
      </c>
      <c r="N307" s="14">
        <v>9</v>
      </c>
      <c r="O307" s="14" t="s">
        <v>78</v>
      </c>
      <c r="P307" s="14" t="s">
        <v>88</v>
      </c>
    </row>
    <row r="308" spans="1:16" x14ac:dyDescent="0.35">
      <c r="A308" s="14" t="s">
        <v>438</v>
      </c>
      <c r="B308" s="15">
        <v>41909</v>
      </c>
      <c r="C308" s="14" t="s">
        <v>53</v>
      </c>
      <c r="D308" s="14" t="s">
        <v>67</v>
      </c>
      <c r="E308" s="14" t="s">
        <v>153</v>
      </c>
      <c r="F308" s="14" t="s">
        <v>123</v>
      </c>
      <c r="G308" s="14" t="s">
        <v>54</v>
      </c>
      <c r="H308" s="14">
        <v>1</v>
      </c>
      <c r="I308" s="16">
        <v>68.150000000000006</v>
      </c>
      <c r="J308" s="16">
        <v>28</v>
      </c>
      <c r="K308" s="16">
        <v>68.150000000000006</v>
      </c>
      <c r="L308" s="16">
        <v>40.15</v>
      </c>
      <c r="M308" s="14">
        <v>2014</v>
      </c>
      <c r="N308" s="14">
        <v>9</v>
      </c>
      <c r="O308" s="14" t="s">
        <v>78</v>
      </c>
      <c r="P308" s="14" t="s">
        <v>88</v>
      </c>
    </row>
    <row r="309" spans="1:16" x14ac:dyDescent="0.35">
      <c r="A309" s="14" t="s">
        <v>439</v>
      </c>
      <c r="B309" s="15">
        <v>41909</v>
      </c>
      <c r="C309" s="14" t="s">
        <v>57</v>
      </c>
      <c r="D309" s="14" t="s">
        <v>66</v>
      </c>
      <c r="E309" s="14" t="s">
        <v>146</v>
      </c>
      <c r="F309" s="14" t="s">
        <v>132</v>
      </c>
      <c r="G309" s="14" t="s">
        <v>56</v>
      </c>
      <c r="H309" s="14">
        <v>2</v>
      </c>
      <c r="I309" s="16">
        <v>38.36</v>
      </c>
      <c r="J309" s="16">
        <v>15</v>
      </c>
      <c r="K309" s="16">
        <v>76.72</v>
      </c>
      <c r="L309" s="16">
        <v>46.72</v>
      </c>
      <c r="M309" s="14">
        <v>2014</v>
      </c>
      <c r="N309" s="14">
        <v>9</v>
      </c>
      <c r="O309" s="14" t="s">
        <v>78</v>
      </c>
      <c r="P309" s="14" t="s">
        <v>88</v>
      </c>
    </row>
    <row r="310" spans="1:16" x14ac:dyDescent="0.35">
      <c r="A310" s="14" t="s">
        <v>440</v>
      </c>
      <c r="B310" s="15">
        <v>41911</v>
      </c>
      <c r="C310" s="14" t="s">
        <v>59</v>
      </c>
      <c r="D310" s="14" t="s">
        <v>68</v>
      </c>
      <c r="E310" s="14" t="s">
        <v>114</v>
      </c>
      <c r="F310" s="14" t="s">
        <v>115</v>
      </c>
      <c r="G310" s="14" t="s">
        <v>56</v>
      </c>
      <c r="H310" s="14">
        <v>1</v>
      </c>
      <c r="I310" s="16">
        <v>430.1</v>
      </c>
      <c r="J310" s="16">
        <v>220</v>
      </c>
      <c r="K310" s="16">
        <v>430.1</v>
      </c>
      <c r="L310" s="16">
        <v>210.1</v>
      </c>
      <c r="M310" s="14">
        <v>2014</v>
      </c>
      <c r="N310" s="14">
        <v>9</v>
      </c>
      <c r="O310" s="14" t="s">
        <v>78</v>
      </c>
      <c r="P310" s="14" t="s">
        <v>88</v>
      </c>
    </row>
    <row r="311" spans="1:16" x14ac:dyDescent="0.35">
      <c r="A311" s="14" t="s">
        <v>441</v>
      </c>
      <c r="B311" s="15">
        <v>41911</v>
      </c>
      <c r="C311" s="14" t="s">
        <v>55</v>
      </c>
      <c r="D311" s="14" t="s">
        <v>65</v>
      </c>
      <c r="E311" s="14" t="s">
        <v>146</v>
      </c>
      <c r="F311" s="14" t="s">
        <v>137</v>
      </c>
      <c r="G311" s="14" t="s">
        <v>54</v>
      </c>
      <c r="H311" s="14">
        <v>3</v>
      </c>
      <c r="I311" s="16">
        <v>339.49</v>
      </c>
      <c r="J311" s="16">
        <v>180</v>
      </c>
      <c r="K311" s="16">
        <v>1018.47</v>
      </c>
      <c r="L311" s="16">
        <v>478.47</v>
      </c>
      <c r="M311" s="14">
        <v>2014</v>
      </c>
      <c r="N311" s="14">
        <v>9</v>
      </c>
      <c r="O311" s="14" t="s">
        <v>78</v>
      </c>
      <c r="P311" s="14" t="s">
        <v>90</v>
      </c>
    </row>
    <row r="312" spans="1:16" x14ac:dyDescent="0.35">
      <c r="A312" s="14" t="s">
        <v>442</v>
      </c>
      <c r="B312" s="15">
        <v>41915</v>
      </c>
      <c r="C312" s="14" t="s">
        <v>53</v>
      </c>
      <c r="D312" s="14" t="s">
        <v>64</v>
      </c>
      <c r="E312" s="14" t="s">
        <v>87</v>
      </c>
      <c r="F312" s="14" t="s">
        <v>123</v>
      </c>
      <c r="G312" s="14" t="s">
        <v>54</v>
      </c>
      <c r="H312" s="14">
        <v>1</v>
      </c>
      <c r="I312" s="16">
        <v>90.54</v>
      </c>
      <c r="J312" s="16">
        <v>28</v>
      </c>
      <c r="K312" s="16">
        <v>90.54</v>
      </c>
      <c r="L312" s="16">
        <v>62.54</v>
      </c>
      <c r="M312" s="14">
        <v>2014</v>
      </c>
      <c r="N312" s="14">
        <v>10</v>
      </c>
      <c r="O312" s="14" t="s">
        <v>79</v>
      </c>
      <c r="P312" s="14" t="s">
        <v>88</v>
      </c>
    </row>
    <row r="313" spans="1:16" x14ac:dyDescent="0.35">
      <c r="A313" s="14" t="s">
        <v>443</v>
      </c>
      <c r="B313" s="15">
        <v>41915</v>
      </c>
      <c r="C313" s="14" t="s">
        <v>55</v>
      </c>
      <c r="D313" s="14" t="s">
        <v>63</v>
      </c>
      <c r="E313" s="14" t="s">
        <v>131</v>
      </c>
      <c r="F313" s="14" t="s">
        <v>123</v>
      </c>
      <c r="G313" s="14" t="s">
        <v>54</v>
      </c>
      <c r="H313" s="14">
        <v>1</v>
      </c>
      <c r="I313" s="16">
        <v>96.43</v>
      </c>
      <c r="J313" s="16">
        <v>28</v>
      </c>
      <c r="K313" s="16">
        <v>96.43</v>
      </c>
      <c r="L313" s="16">
        <v>68.430000000000007</v>
      </c>
      <c r="M313" s="14">
        <v>2014</v>
      </c>
      <c r="N313" s="14">
        <v>10</v>
      </c>
      <c r="O313" s="14" t="s">
        <v>79</v>
      </c>
      <c r="P313" s="14" t="s">
        <v>88</v>
      </c>
    </row>
    <row r="314" spans="1:16" x14ac:dyDescent="0.35">
      <c r="A314" s="14" t="s">
        <v>444</v>
      </c>
      <c r="B314" s="15">
        <v>41915</v>
      </c>
      <c r="C314" s="14" t="s">
        <v>59</v>
      </c>
      <c r="D314" s="14" t="s">
        <v>61</v>
      </c>
      <c r="E314" s="14" t="s">
        <v>134</v>
      </c>
      <c r="F314" s="14" t="s">
        <v>142</v>
      </c>
      <c r="G314" s="14" t="s">
        <v>58</v>
      </c>
      <c r="H314" s="14">
        <v>1</v>
      </c>
      <c r="I314" s="16">
        <v>16.559999999999999</v>
      </c>
      <c r="J314" s="16">
        <v>4</v>
      </c>
      <c r="K314" s="16">
        <v>16.559999999999999</v>
      </c>
      <c r="L314" s="16">
        <v>12.56</v>
      </c>
      <c r="M314" s="14">
        <v>2014</v>
      </c>
      <c r="N314" s="14">
        <v>10</v>
      </c>
      <c r="O314" s="14" t="s">
        <v>79</v>
      </c>
      <c r="P314" s="14" t="s">
        <v>88</v>
      </c>
    </row>
    <row r="315" spans="1:16" x14ac:dyDescent="0.35">
      <c r="A315" s="14" t="s">
        <v>445</v>
      </c>
      <c r="B315" s="15">
        <v>41916</v>
      </c>
      <c r="C315" s="14" t="s">
        <v>53</v>
      </c>
      <c r="D315" s="14" t="s">
        <v>64</v>
      </c>
      <c r="E315" s="14" t="s">
        <v>144</v>
      </c>
      <c r="F315" s="14" t="s">
        <v>156</v>
      </c>
      <c r="G315" s="14" t="s">
        <v>54</v>
      </c>
      <c r="H315" s="14">
        <v>1</v>
      </c>
      <c r="I315" s="16">
        <v>65.44</v>
      </c>
      <c r="J315" s="16">
        <v>18</v>
      </c>
      <c r="K315" s="16">
        <v>65.44</v>
      </c>
      <c r="L315" s="16">
        <v>47.44</v>
      </c>
      <c r="M315" s="14">
        <v>2014</v>
      </c>
      <c r="N315" s="14">
        <v>10</v>
      </c>
      <c r="O315" s="14" t="s">
        <v>79</v>
      </c>
      <c r="P315" s="14" t="s">
        <v>88</v>
      </c>
    </row>
    <row r="316" spans="1:16" x14ac:dyDescent="0.35">
      <c r="A316" s="14" t="s">
        <v>446</v>
      </c>
      <c r="B316" s="15">
        <v>41917</v>
      </c>
      <c r="C316" s="14" t="s">
        <v>53</v>
      </c>
      <c r="D316" s="14" t="s">
        <v>67</v>
      </c>
      <c r="E316" s="14" t="s">
        <v>89</v>
      </c>
      <c r="F316" s="14" t="s">
        <v>140</v>
      </c>
      <c r="G316" s="14" t="s">
        <v>56</v>
      </c>
      <c r="H316" s="14">
        <v>2</v>
      </c>
      <c r="I316" s="16">
        <v>255.22</v>
      </c>
      <c r="J316" s="16">
        <v>95</v>
      </c>
      <c r="K316" s="16">
        <v>510.44</v>
      </c>
      <c r="L316" s="16">
        <v>320.44</v>
      </c>
      <c r="M316" s="14">
        <v>2014</v>
      </c>
      <c r="N316" s="14">
        <v>10</v>
      </c>
      <c r="O316" s="14" t="s">
        <v>79</v>
      </c>
      <c r="P316" s="14" t="s">
        <v>88</v>
      </c>
    </row>
    <row r="317" spans="1:16" x14ac:dyDescent="0.35">
      <c r="A317" s="14" t="s">
        <v>447</v>
      </c>
      <c r="B317" s="15">
        <v>41918</v>
      </c>
      <c r="C317" s="14" t="s">
        <v>53</v>
      </c>
      <c r="D317" s="14" t="s">
        <v>67</v>
      </c>
      <c r="E317" s="14" t="s">
        <v>114</v>
      </c>
      <c r="F317" s="14" t="s">
        <v>137</v>
      </c>
      <c r="G317" s="14" t="s">
        <v>54</v>
      </c>
      <c r="H317" s="14">
        <v>2</v>
      </c>
      <c r="I317" s="16">
        <v>456.65</v>
      </c>
      <c r="J317" s="16">
        <v>180</v>
      </c>
      <c r="K317" s="16">
        <v>913.3</v>
      </c>
      <c r="L317" s="16">
        <v>553.29999999999995</v>
      </c>
      <c r="M317" s="14">
        <v>2014</v>
      </c>
      <c r="N317" s="14">
        <v>10</v>
      </c>
      <c r="O317" s="14" t="s">
        <v>79</v>
      </c>
      <c r="P317" s="14" t="s">
        <v>88</v>
      </c>
    </row>
    <row r="318" spans="1:16" x14ac:dyDescent="0.35">
      <c r="A318" s="14" t="s">
        <v>448</v>
      </c>
      <c r="B318" s="15">
        <v>41919</v>
      </c>
      <c r="C318" s="14" t="s">
        <v>57</v>
      </c>
      <c r="D318" s="14" t="s">
        <v>61</v>
      </c>
      <c r="E318" s="14" t="s">
        <v>98</v>
      </c>
      <c r="F318" s="14" t="s">
        <v>142</v>
      </c>
      <c r="G318" s="14" t="s">
        <v>58</v>
      </c>
      <c r="H318" s="14">
        <v>2</v>
      </c>
      <c r="I318" s="16">
        <v>16.75</v>
      </c>
      <c r="J318" s="16">
        <v>4</v>
      </c>
      <c r="K318" s="16">
        <v>33.5</v>
      </c>
      <c r="L318" s="16">
        <v>25.5</v>
      </c>
      <c r="M318" s="14">
        <v>2014</v>
      </c>
      <c r="N318" s="14">
        <v>10</v>
      </c>
      <c r="O318" s="14" t="s">
        <v>79</v>
      </c>
      <c r="P318" s="14" t="s">
        <v>88</v>
      </c>
    </row>
    <row r="319" spans="1:16" x14ac:dyDescent="0.35">
      <c r="A319" s="14" t="s">
        <v>449</v>
      </c>
      <c r="B319" s="15">
        <v>41919</v>
      </c>
      <c r="C319" s="14" t="s">
        <v>55</v>
      </c>
      <c r="D319" s="14" t="s">
        <v>65</v>
      </c>
      <c r="E319" s="14" t="s">
        <v>164</v>
      </c>
      <c r="F319" s="14" t="s">
        <v>156</v>
      </c>
      <c r="G319" s="14" t="s">
        <v>54</v>
      </c>
      <c r="H319" s="14">
        <v>1</v>
      </c>
      <c r="I319" s="16">
        <v>69.45</v>
      </c>
      <c r="J319" s="16">
        <v>18</v>
      </c>
      <c r="K319" s="16">
        <v>69.45</v>
      </c>
      <c r="L319" s="16">
        <v>51.45</v>
      </c>
      <c r="M319" s="14">
        <v>2014</v>
      </c>
      <c r="N319" s="14">
        <v>10</v>
      </c>
      <c r="O319" s="14" t="s">
        <v>79</v>
      </c>
      <c r="P319" s="14" t="s">
        <v>88</v>
      </c>
    </row>
    <row r="320" spans="1:16" x14ac:dyDescent="0.35">
      <c r="A320" s="14" t="s">
        <v>450</v>
      </c>
      <c r="B320" s="15">
        <v>41919</v>
      </c>
      <c r="C320" s="14" t="s">
        <v>55</v>
      </c>
      <c r="D320" s="14" t="s">
        <v>65</v>
      </c>
      <c r="E320" s="14" t="s">
        <v>153</v>
      </c>
      <c r="F320" s="14" t="s">
        <v>132</v>
      </c>
      <c r="G320" s="14" t="s">
        <v>56</v>
      </c>
      <c r="H320" s="14">
        <v>1</v>
      </c>
      <c r="I320" s="16">
        <v>52.87</v>
      </c>
      <c r="J320" s="16">
        <v>15</v>
      </c>
      <c r="K320" s="16">
        <v>52.87</v>
      </c>
      <c r="L320" s="16">
        <v>37.869999999999997</v>
      </c>
      <c r="M320" s="14">
        <v>2014</v>
      </c>
      <c r="N320" s="14">
        <v>10</v>
      </c>
      <c r="O320" s="14" t="s">
        <v>79</v>
      </c>
      <c r="P320" s="14" t="s">
        <v>88</v>
      </c>
    </row>
    <row r="321" spans="1:16" x14ac:dyDescent="0.35">
      <c r="A321" s="14" t="s">
        <v>451</v>
      </c>
      <c r="B321" s="15">
        <v>41920</v>
      </c>
      <c r="C321" s="14" t="s">
        <v>57</v>
      </c>
      <c r="D321" s="14" t="s">
        <v>68</v>
      </c>
      <c r="E321" s="14" t="s">
        <v>117</v>
      </c>
      <c r="F321" s="14" t="s">
        <v>142</v>
      </c>
      <c r="G321" s="14" t="s">
        <v>58</v>
      </c>
      <c r="H321" s="14">
        <v>1</v>
      </c>
      <c r="I321" s="16">
        <v>16.43</v>
      </c>
      <c r="J321" s="16">
        <v>4</v>
      </c>
      <c r="K321" s="16">
        <v>16.43</v>
      </c>
      <c r="L321" s="16">
        <v>12.43</v>
      </c>
      <c r="M321" s="14">
        <v>2014</v>
      </c>
      <c r="N321" s="14">
        <v>10</v>
      </c>
      <c r="O321" s="14" t="s">
        <v>79</v>
      </c>
      <c r="P321" s="14" t="s">
        <v>88</v>
      </c>
    </row>
    <row r="322" spans="1:16" x14ac:dyDescent="0.35">
      <c r="A322" s="14" t="s">
        <v>452</v>
      </c>
      <c r="B322" s="15">
        <v>41921</v>
      </c>
      <c r="C322" s="14" t="s">
        <v>53</v>
      </c>
      <c r="D322" s="14" t="s">
        <v>64</v>
      </c>
      <c r="E322" s="14" t="s">
        <v>98</v>
      </c>
      <c r="F322" s="14" t="s">
        <v>123</v>
      </c>
      <c r="G322" s="14" t="s">
        <v>54</v>
      </c>
      <c r="H322" s="14">
        <v>1</v>
      </c>
      <c r="I322" s="16">
        <v>97.58</v>
      </c>
      <c r="J322" s="16">
        <v>28</v>
      </c>
      <c r="K322" s="16">
        <v>97.58</v>
      </c>
      <c r="L322" s="16">
        <v>69.58</v>
      </c>
      <c r="M322" s="14">
        <v>2014</v>
      </c>
      <c r="N322" s="14">
        <v>10</v>
      </c>
      <c r="O322" s="14" t="s">
        <v>79</v>
      </c>
      <c r="P322" s="14" t="s">
        <v>88</v>
      </c>
    </row>
    <row r="323" spans="1:16" x14ac:dyDescent="0.35">
      <c r="A323" s="14" t="s">
        <v>453</v>
      </c>
      <c r="B323" s="15">
        <v>41921</v>
      </c>
      <c r="C323" s="14" t="s">
        <v>53</v>
      </c>
      <c r="D323" s="14" t="s">
        <v>67</v>
      </c>
      <c r="E323" s="14" t="s">
        <v>134</v>
      </c>
      <c r="F323" s="14" t="s">
        <v>156</v>
      </c>
      <c r="G323" s="14" t="s">
        <v>54</v>
      </c>
      <c r="H323" s="14">
        <v>2</v>
      </c>
      <c r="I323" s="16">
        <v>64.77</v>
      </c>
      <c r="J323" s="16">
        <v>18</v>
      </c>
      <c r="K323" s="16">
        <v>129.54</v>
      </c>
      <c r="L323" s="16">
        <v>93.54</v>
      </c>
      <c r="M323" s="14">
        <v>2014</v>
      </c>
      <c r="N323" s="14">
        <v>10</v>
      </c>
      <c r="O323" s="14" t="s">
        <v>79</v>
      </c>
      <c r="P323" s="14" t="s">
        <v>88</v>
      </c>
    </row>
    <row r="324" spans="1:16" x14ac:dyDescent="0.35">
      <c r="A324" s="14" t="s">
        <v>454</v>
      </c>
      <c r="B324" s="15">
        <v>41921</v>
      </c>
      <c r="C324" s="14" t="s">
        <v>57</v>
      </c>
      <c r="D324" s="14" t="s">
        <v>63</v>
      </c>
      <c r="E324" s="14" t="s">
        <v>87</v>
      </c>
      <c r="F324" s="14" t="s">
        <v>115</v>
      </c>
      <c r="G324" s="14" t="s">
        <v>56</v>
      </c>
      <c r="H324" s="14">
        <v>2</v>
      </c>
      <c r="I324" s="16">
        <v>614.79999999999995</v>
      </c>
      <c r="J324" s="16">
        <v>220</v>
      </c>
      <c r="K324" s="16">
        <v>1229.5999999999999</v>
      </c>
      <c r="L324" s="16">
        <v>789.6</v>
      </c>
      <c r="M324" s="14">
        <v>2014</v>
      </c>
      <c r="N324" s="14">
        <v>10</v>
      </c>
      <c r="O324" s="14" t="s">
        <v>79</v>
      </c>
      <c r="P324" s="14" t="s">
        <v>90</v>
      </c>
    </row>
    <row r="325" spans="1:16" x14ac:dyDescent="0.35">
      <c r="A325" s="14" t="s">
        <v>455</v>
      </c>
      <c r="B325" s="15">
        <v>41922</v>
      </c>
      <c r="C325" s="14" t="s">
        <v>53</v>
      </c>
      <c r="D325" s="14" t="s">
        <v>64</v>
      </c>
      <c r="E325" s="14" t="s">
        <v>98</v>
      </c>
      <c r="F325" s="14" t="s">
        <v>137</v>
      </c>
      <c r="G325" s="14" t="s">
        <v>54</v>
      </c>
      <c r="H325" s="14">
        <v>2</v>
      </c>
      <c r="I325" s="16">
        <v>453.24</v>
      </c>
      <c r="J325" s="16">
        <v>180</v>
      </c>
      <c r="K325" s="16">
        <v>906.48</v>
      </c>
      <c r="L325" s="16">
        <v>546.48</v>
      </c>
      <c r="M325" s="14">
        <v>2014</v>
      </c>
      <c r="N325" s="14">
        <v>10</v>
      </c>
      <c r="O325" s="14" t="s">
        <v>79</v>
      </c>
      <c r="P325" s="14" t="s">
        <v>88</v>
      </c>
    </row>
    <row r="326" spans="1:16" x14ac:dyDescent="0.35">
      <c r="A326" s="14" t="s">
        <v>456</v>
      </c>
      <c r="B326" s="15">
        <v>41922</v>
      </c>
      <c r="C326" s="14" t="s">
        <v>59</v>
      </c>
      <c r="D326" s="14" t="s">
        <v>61</v>
      </c>
      <c r="E326" s="14" t="s">
        <v>89</v>
      </c>
      <c r="F326" s="14" t="s">
        <v>142</v>
      </c>
      <c r="G326" s="14" t="s">
        <v>58</v>
      </c>
      <c r="H326" s="14">
        <v>1</v>
      </c>
      <c r="I326" s="16">
        <v>17.61</v>
      </c>
      <c r="J326" s="16">
        <v>4</v>
      </c>
      <c r="K326" s="16">
        <v>17.61</v>
      </c>
      <c r="L326" s="16">
        <v>13.61</v>
      </c>
      <c r="M326" s="14">
        <v>2014</v>
      </c>
      <c r="N326" s="14">
        <v>10</v>
      </c>
      <c r="O326" s="14" t="s">
        <v>79</v>
      </c>
      <c r="P326" s="14" t="s">
        <v>88</v>
      </c>
    </row>
    <row r="327" spans="1:16" x14ac:dyDescent="0.35">
      <c r="A327" s="14" t="s">
        <v>457</v>
      </c>
      <c r="B327" s="15">
        <v>41922</v>
      </c>
      <c r="C327" s="14" t="s">
        <v>59</v>
      </c>
      <c r="D327" s="14" t="s">
        <v>61</v>
      </c>
      <c r="E327" s="14" t="s">
        <v>164</v>
      </c>
      <c r="F327" s="14" t="s">
        <v>118</v>
      </c>
      <c r="G327" s="14" t="s">
        <v>54</v>
      </c>
      <c r="H327" s="14">
        <v>1</v>
      </c>
      <c r="I327" s="16">
        <v>41.11</v>
      </c>
      <c r="J327" s="16">
        <v>12</v>
      </c>
      <c r="K327" s="16">
        <v>41.11</v>
      </c>
      <c r="L327" s="16">
        <v>29.11</v>
      </c>
      <c r="M327" s="14">
        <v>2014</v>
      </c>
      <c r="N327" s="14">
        <v>10</v>
      </c>
      <c r="O327" s="14" t="s">
        <v>79</v>
      </c>
      <c r="P327" s="14" t="s">
        <v>88</v>
      </c>
    </row>
    <row r="328" spans="1:16" x14ac:dyDescent="0.35">
      <c r="A328" s="14" t="s">
        <v>458</v>
      </c>
      <c r="B328" s="15">
        <v>41922</v>
      </c>
      <c r="C328" s="14" t="s">
        <v>57</v>
      </c>
      <c r="D328" s="14" t="s">
        <v>64</v>
      </c>
      <c r="E328" s="14" t="s">
        <v>98</v>
      </c>
      <c r="F328" s="14" t="s">
        <v>125</v>
      </c>
      <c r="G328" s="14" t="s">
        <v>56</v>
      </c>
      <c r="H328" s="14">
        <v>1</v>
      </c>
      <c r="I328" s="16">
        <v>217.68</v>
      </c>
      <c r="J328" s="16">
        <v>70</v>
      </c>
      <c r="K328" s="16">
        <v>217.68</v>
      </c>
      <c r="L328" s="16">
        <v>147.68</v>
      </c>
      <c r="M328" s="14">
        <v>2014</v>
      </c>
      <c r="N328" s="14">
        <v>10</v>
      </c>
      <c r="O328" s="14" t="s">
        <v>79</v>
      </c>
      <c r="P328" s="14" t="s">
        <v>88</v>
      </c>
    </row>
    <row r="329" spans="1:16" x14ac:dyDescent="0.35">
      <c r="A329" s="14" t="s">
        <v>459</v>
      </c>
      <c r="B329" s="15">
        <v>41923</v>
      </c>
      <c r="C329" s="14" t="s">
        <v>53</v>
      </c>
      <c r="D329" s="14" t="s">
        <v>67</v>
      </c>
      <c r="E329" s="14" t="s">
        <v>164</v>
      </c>
      <c r="F329" s="14" t="s">
        <v>125</v>
      </c>
      <c r="G329" s="14" t="s">
        <v>56</v>
      </c>
      <c r="H329" s="14">
        <v>3</v>
      </c>
      <c r="I329" s="16">
        <v>220.42</v>
      </c>
      <c r="J329" s="16">
        <v>70</v>
      </c>
      <c r="K329" s="16">
        <v>661.26</v>
      </c>
      <c r="L329" s="16">
        <v>451.26</v>
      </c>
      <c r="M329" s="14">
        <v>2014</v>
      </c>
      <c r="N329" s="14">
        <v>10</v>
      </c>
      <c r="O329" s="14" t="s">
        <v>79</v>
      </c>
      <c r="P329" s="14" t="s">
        <v>88</v>
      </c>
    </row>
    <row r="330" spans="1:16" x14ac:dyDescent="0.35">
      <c r="A330" s="14" t="s">
        <v>460</v>
      </c>
      <c r="B330" s="15">
        <v>41923</v>
      </c>
      <c r="C330" s="14" t="s">
        <v>59</v>
      </c>
      <c r="D330" s="14" t="s">
        <v>61</v>
      </c>
      <c r="E330" s="14" t="s">
        <v>98</v>
      </c>
      <c r="F330" s="14" t="s">
        <v>156</v>
      </c>
      <c r="G330" s="14" t="s">
        <v>54</v>
      </c>
      <c r="H330" s="14">
        <v>3</v>
      </c>
      <c r="I330" s="16">
        <v>64.19</v>
      </c>
      <c r="J330" s="16">
        <v>18</v>
      </c>
      <c r="K330" s="16">
        <v>192.57</v>
      </c>
      <c r="L330" s="16">
        <v>138.57</v>
      </c>
      <c r="M330" s="14">
        <v>2014</v>
      </c>
      <c r="N330" s="14">
        <v>10</v>
      </c>
      <c r="O330" s="14" t="s">
        <v>79</v>
      </c>
      <c r="P330" s="14" t="s">
        <v>88</v>
      </c>
    </row>
    <row r="331" spans="1:16" x14ac:dyDescent="0.35">
      <c r="A331" s="14" t="s">
        <v>461</v>
      </c>
      <c r="B331" s="15">
        <v>41923</v>
      </c>
      <c r="C331" s="14" t="s">
        <v>55</v>
      </c>
      <c r="D331" s="14" t="s">
        <v>65</v>
      </c>
      <c r="E331" s="14" t="s">
        <v>131</v>
      </c>
      <c r="F331" s="14" t="s">
        <v>156</v>
      </c>
      <c r="G331" s="14" t="s">
        <v>54</v>
      </c>
      <c r="H331" s="14">
        <v>1</v>
      </c>
      <c r="I331" s="16">
        <v>63.82</v>
      </c>
      <c r="J331" s="16">
        <v>18</v>
      </c>
      <c r="K331" s="16">
        <v>63.82</v>
      </c>
      <c r="L331" s="16">
        <v>45.82</v>
      </c>
      <c r="M331" s="14">
        <v>2014</v>
      </c>
      <c r="N331" s="14">
        <v>10</v>
      </c>
      <c r="O331" s="14" t="s">
        <v>79</v>
      </c>
      <c r="P331" s="14" t="s">
        <v>88</v>
      </c>
    </row>
    <row r="332" spans="1:16" x14ac:dyDescent="0.35">
      <c r="A332" s="14" t="s">
        <v>462</v>
      </c>
      <c r="B332" s="15">
        <v>41924</v>
      </c>
      <c r="C332" s="14" t="s">
        <v>55</v>
      </c>
      <c r="D332" s="14" t="s">
        <v>65</v>
      </c>
      <c r="E332" s="14" t="s">
        <v>91</v>
      </c>
      <c r="F332" s="14" t="s">
        <v>128</v>
      </c>
      <c r="G332" s="14" t="s">
        <v>54</v>
      </c>
      <c r="H332" s="14">
        <v>2</v>
      </c>
      <c r="I332" s="16">
        <v>114.35</v>
      </c>
      <c r="J332" s="16">
        <v>40</v>
      </c>
      <c r="K332" s="16">
        <v>228.7</v>
      </c>
      <c r="L332" s="16">
        <v>148.69999999999999</v>
      </c>
      <c r="M332" s="14">
        <v>2014</v>
      </c>
      <c r="N332" s="14">
        <v>10</v>
      </c>
      <c r="O332" s="14" t="s">
        <v>79</v>
      </c>
      <c r="P332" s="14" t="s">
        <v>88</v>
      </c>
    </row>
    <row r="333" spans="1:16" x14ac:dyDescent="0.35">
      <c r="A333" s="14" t="s">
        <v>463</v>
      </c>
      <c r="B333" s="15">
        <v>41925</v>
      </c>
      <c r="C333" s="14" t="s">
        <v>55</v>
      </c>
      <c r="D333" s="14" t="s">
        <v>65</v>
      </c>
      <c r="E333" s="14" t="s">
        <v>131</v>
      </c>
      <c r="F333" s="14" t="s">
        <v>140</v>
      </c>
      <c r="G333" s="14" t="s">
        <v>56</v>
      </c>
      <c r="H333" s="14">
        <v>1</v>
      </c>
      <c r="I333" s="16">
        <v>243.21</v>
      </c>
      <c r="J333" s="16">
        <v>95</v>
      </c>
      <c r="K333" s="16">
        <v>243.21</v>
      </c>
      <c r="L333" s="16">
        <v>148.21</v>
      </c>
      <c r="M333" s="14">
        <v>2014</v>
      </c>
      <c r="N333" s="14">
        <v>10</v>
      </c>
      <c r="O333" s="14" t="s">
        <v>79</v>
      </c>
      <c r="P333" s="14" t="s">
        <v>88</v>
      </c>
    </row>
    <row r="334" spans="1:16" x14ac:dyDescent="0.35">
      <c r="A334" s="14" t="s">
        <v>464</v>
      </c>
      <c r="B334" s="15">
        <v>41925</v>
      </c>
      <c r="C334" s="14" t="s">
        <v>59</v>
      </c>
      <c r="D334" s="14" t="s">
        <v>66</v>
      </c>
      <c r="E334" s="14" t="s">
        <v>89</v>
      </c>
      <c r="F334" s="14" t="s">
        <v>142</v>
      </c>
      <c r="G334" s="14" t="s">
        <v>58</v>
      </c>
      <c r="H334" s="14">
        <v>2</v>
      </c>
      <c r="I334" s="16">
        <v>16.8</v>
      </c>
      <c r="J334" s="16">
        <v>4</v>
      </c>
      <c r="K334" s="16">
        <v>33.6</v>
      </c>
      <c r="L334" s="16">
        <v>25.6</v>
      </c>
      <c r="M334" s="14">
        <v>2014</v>
      </c>
      <c r="N334" s="14">
        <v>10</v>
      </c>
      <c r="O334" s="14" t="s">
        <v>79</v>
      </c>
      <c r="P334" s="14" t="s">
        <v>88</v>
      </c>
    </row>
    <row r="335" spans="1:16" x14ac:dyDescent="0.35">
      <c r="A335" s="14" t="s">
        <v>465</v>
      </c>
      <c r="B335" s="15">
        <v>41927</v>
      </c>
      <c r="C335" s="14" t="s">
        <v>57</v>
      </c>
      <c r="D335" s="14" t="s">
        <v>66</v>
      </c>
      <c r="E335" s="14" t="s">
        <v>87</v>
      </c>
      <c r="F335" s="14" t="s">
        <v>137</v>
      </c>
      <c r="G335" s="14" t="s">
        <v>54</v>
      </c>
      <c r="H335" s="14">
        <v>4</v>
      </c>
      <c r="I335" s="16">
        <v>463.74</v>
      </c>
      <c r="J335" s="16">
        <v>180</v>
      </c>
      <c r="K335" s="16">
        <v>1854.96</v>
      </c>
      <c r="L335" s="16">
        <v>1134.96</v>
      </c>
      <c r="M335" s="14">
        <v>2014</v>
      </c>
      <c r="N335" s="14">
        <v>10</v>
      </c>
      <c r="O335" s="14" t="s">
        <v>79</v>
      </c>
      <c r="P335" s="14" t="s">
        <v>90</v>
      </c>
    </row>
    <row r="336" spans="1:16" x14ac:dyDescent="0.35">
      <c r="A336" s="14" t="s">
        <v>466</v>
      </c>
      <c r="B336" s="15">
        <v>41927</v>
      </c>
      <c r="C336" s="14" t="s">
        <v>57</v>
      </c>
      <c r="D336" s="14" t="s">
        <v>62</v>
      </c>
      <c r="E336" s="14" t="s">
        <v>144</v>
      </c>
      <c r="F336" s="14" t="s">
        <v>128</v>
      </c>
      <c r="G336" s="14" t="s">
        <v>54</v>
      </c>
      <c r="H336" s="14">
        <v>1</v>
      </c>
      <c r="I336" s="16">
        <v>121.49</v>
      </c>
      <c r="J336" s="16">
        <v>40</v>
      </c>
      <c r="K336" s="16">
        <v>121.49</v>
      </c>
      <c r="L336" s="16">
        <v>81.489999999999995</v>
      </c>
      <c r="M336" s="14">
        <v>2014</v>
      </c>
      <c r="N336" s="14">
        <v>10</v>
      </c>
      <c r="O336" s="14" t="s">
        <v>79</v>
      </c>
      <c r="P336" s="14" t="s">
        <v>88</v>
      </c>
    </row>
    <row r="337" spans="1:16" x14ac:dyDescent="0.35">
      <c r="A337" s="14" t="s">
        <v>467</v>
      </c>
      <c r="B337" s="15">
        <v>41927</v>
      </c>
      <c r="C337" s="14" t="s">
        <v>57</v>
      </c>
      <c r="D337" s="14" t="s">
        <v>62</v>
      </c>
      <c r="E337" s="14" t="s">
        <v>134</v>
      </c>
      <c r="F337" s="14" t="s">
        <v>118</v>
      </c>
      <c r="G337" s="14" t="s">
        <v>54</v>
      </c>
      <c r="H337" s="14">
        <v>1</v>
      </c>
      <c r="I337" s="16">
        <v>38.159999999999997</v>
      </c>
      <c r="J337" s="16">
        <v>12</v>
      </c>
      <c r="K337" s="16">
        <v>38.159999999999997</v>
      </c>
      <c r="L337" s="16">
        <v>26.16</v>
      </c>
      <c r="M337" s="14">
        <v>2014</v>
      </c>
      <c r="N337" s="14">
        <v>10</v>
      </c>
      <c r="O337" s="14" t="s">
        <v>79</v>
      </c>
      <c r="P337" s="14" t="s">
        <v>88</v>
      </c>
    </row>
    <row r="338" spans="1:16" x14ac:dyDescent="0.35">
      <c r="A338" s="14" t="s">
        <v>468</v>
      </c>
      <c r="B338" s="15">
        <v>41930</v>
      </c>
      <c r="C338" s="14" t="s">
        <v>57</v>
      </c>
      <c r="D338" s="14" t="s">
        <v>66</v>
      </c>
      <c r="E338" s="14" t="s">
        <v>134</v>
      </c>
      <c r="F338" s="14" t="s">
        <v>132</v>
      </c>
      <c r="G338" s="14" t="s">
        <v>56</v>
      </c>
      <c r="H338" s="14">
        <v>4</v>
      </c>
      <c r="I338" s="16">
        <v>53.4</v>
      </c>
      <c r="J338" s="16">
        <v>15</v>
      </c>
      <c r="K338" s="16">
        <v>213.6</v>
      </c>
      <c r="L338" s="16">
        <v>153.6</v>
      </c>
      <c r="M338" s="14">
        <v>2014</v>
      </c>
      <c r="N338" s="14">
        <v>10</v>
      </c>
      <c r="O338" s="14" t="s">
        <v>79</v>
      </c>
      <c r="P338" s="14" t="s">
        <v>88</v>
      </c>
    </row>
    <row r="339" spans="1:16" x14ac:dyDescent="0.35">
      <c r="A339" s="14" t="s">
        <v>469</v>
      </c>
      <c r="B339" s="15">
        <v>41930</v>
      </c>
      <c r="C339" s="14" t="s">
        <v>55</v>
      </c>
      <c r="D339" s="14" t="s">
        <v>63</v>
      </c>
      <c r="E339" s="14" t="s">
        <v>153</v>
      </c>
      <c r="F339" s="14" t="s">
        <v>118</v>
      </c>
      <c r="G339" s="14" t="s">
        <v>54</v>
      </c>
      <c r="H339" s="14">
        <v>3</v>
      </c>
      <c r="I339" s="16">
        <v>38.29</v>
      </c>
      <c r="J339" s="16">
        <v>12</v>
      </c>
      <c r="K339" s="16">
        <v>114.87</v>
      </c>
      <c r="L339" s="16">
        <v>78.87</v>
      </c>
      <c r="M339" s="14">
        <v>2014</v>
      </c>
      <c r="N339" s="14">
        <v>10</v>
      </c>
      <c r="O339" s="14" t="s">
        <v>79</v>
      </c>
      <c r="P339" s="14" t="s">
        <v>88</v>
      </c>
    </row>
    <row r="340" spans="1:16" x14ac:dyDescent="0.35">
      <c r="A340" s="14" t="s">
        <v>470</v>
      </c>
      <c r="B340" s="15">
        <v>41930</v>
      </c>
      <c r="C340" s="14" t="s">
        <v>53</v>
      </c>
      <c r="D340" s="14" t="s">
        <v>67</v>
      </c>
      <c r="E340" s="14" t="s">
        <v>146</v>
      </c>
      <c r="F340" s="14" t="s">
        <v>123</v>
      </c>
      <c r="G340" s="14" t="s">
        <v>54</v>
      </c>
      <c r="H340" s="14">
        <v>1</v>
      </c>
      <c r="I340" s="16">
        <v>93.76</v>
      </c>
      <c r="J340" s="16">
        <v>28</v>
      </c>
      <c r="K340" s="16">
        <v>93.76</v>
      </c>
      <c r="L340" s="16">
        <v>65.760000000000005</v>
      </c>
      <c r="M340" s="14">
        <v>2014</v>
      </c>
      <c r="N340" s="14">
        <v>10</v>
      </c>
      <c r="O340" s="14" t="s">
        <v>79</v>
      </c>
      <c r="P340" s="14" t="s">
        <v>88</v>
      </c>
    </row>
    <row r="341" spans="1:16" x14ac:dyDescent="0.35">
      <c r="A341" s="14" t="s">
        <v>471</v>
      </c>
      <c r="B341" s="15">
        <v>41933</v>
      </c>
      <c r="C341" s="14" t="s">
        <v>53</v>
      </c>
      <c r="D341" s="14" t="s">
        <v>67</v>
      </c>
      <c r="E341" s="14" t="s">
        <v>146</v>
      </c>
      <c r="F341" s="14" t="s">
        <v>156</v>
      </c>
      <c r="G341" s="14" t="s">
        <v>54</v>
      </c>
      <c r="H341" s="14">
        <v>1</v>
      </c>
      <c r="I341" s="16">
        <v>63.62</v>
      </c>
      <c r="J341" s="16">
        <v>18</v>
      </c>
      <c r="K341" s="16">
        <v>63.62</v>
      </c>
      <c r="L341" s="16">
        <v>45.62</v>
      </c>
      <c r="M341" s="14">
        <v>2014</v>
      </c>
      <c r="N341" s="14">
        <v>10</v>
      </c>
      <c r="O341" s="14" t="s">
        <v>79</v>
      </c>
      <c r="P341" s="14" t="s">
        <v>88</v>
      </c>
    </row>
    <row r="342" spans="1:16" x14ac:dyDescent="0.35">
      <c r="A342" s="14" t="s">
        <v>472</v>
      </c>
      <c r="B342" s="15">
        <v>41933</v>
      </c>
      <c r="C342" s="14" t="s">
        <v>59</v>
      </c>
      <c r="D342" s="14" t="s">
        <v>61</v>
      </c>
      <c r="E342" s="14" t="s">
        <v>131</v>
      </c>
      <c r="F342" s="14" t="s">
        <v>125</v>
      </c>
      <c r="G342" s="14" t="s">
        <v>56</v>
      </c>
      <c r="H342" s="14">
        <v>2</v>
      </c>
      <c r="I342" s="16">
        <v>218.52</v>
      </c>
      <c r="J342" s="16">
        <v>70</v>
      </c>
      <c r="K342" s="16">
        <v>437.04</v>
      </c>
      <c r="L342" s="16">
        <v>297.04000000000002</v>
      </c>
      <c r="M342" s="14">
        <v>2014</v>
      </c>
      <c r="N342" s="14">
        <v>10</v>
      </c>
      <c r="O342" s="14" t="s">
        <v>79</v>
      </c>
      <c r="P342" s="14" t="s">
        <v>88</v>
      </c>
    </row>
    <row r="343" spans="1:16" x14ac:dyDescent="0.35">
      <c r="A343" s="14" t="s">
        <v>473</v>
      </c>
      <c r="B343" s="15">
        <v>41933</v>
      </c>
      <c r="C343" s="14" t="s">
        <v>57</v>
      </c>
      <c r="D343" s="14" t="s">
        <v>62</v>
      </c>
      <c r="E343" s="14" t="s">
        <v>100</v>
      </c>
      <c r="F343" s="14" t="s">
        <v>140</v>
      </c>
      <c r="G343" s="14" t="s">
        <v>56</v>
      </c>
      <c r="H343" s="14">
        <v>1</v>
      </c>
      <c r="I343" s="16">
        <v>264.41000000000003</v>
      </c>
      <c r="J343" s="16">
        <v>95</v>
      </c>
      <c r="K343" s="16">
        <v>264.41000000000003</v>
      </c>
      <c r="L343" s="16">
        <v>169.41</v>
      </c>
      <c r="M343" s="14">
        <v>2014</v>
      </c>
      <c r="N343" s="14">
        <v>10</v>
      </c>
      <c r="O343" s="14" t="s">
        <v>79</v>
      </c>
      <c r="P343" s="14" t="s">
        <v>88</v>
      </c>
    </row>
    <row r="344" spans="1:16" x14ac:dyDescent="0.35">
      <c r="A344" s="14" t="s">
        <v>474</v>
      </c>
      <c r="B344" s="15">
        <v>41934</v>
      </c>
      <c r="C344" s="14" t="s">
        <v>59</v>
      </c>
      <c r="D344" s="14" t="s">
        <v>68</v>
      </c>
      <c r="E344" s="14" t="s">
        <v>139</v>
      </c>
      <c r="F344" s="14" t="s">
        <v>156</v>
      </c>
      <c r="G344" s="14" t="s">
        <v>54</v>
      </c>
      <c r="H344" s="14">
        <v>1</v>
      </c>
      <c r="I344" s="16">
        <v>67.41</v>
      </c>
      <c r="J344" s="16">
        <v>18</v>
      </c>
      <c r="K344" s="16">
        <v>67.41</v>
      </c>
      <c r="L344" s="16">
        <v>49.41</v>
      </c>
      <c r="M344" s="14">
        <v>2014</v>
      </c>
      <c r="N344" s="14">
        <v>10</v>
      </c>
      <c r="O344" s="14" t="s">
        <v>79</v>
      </c>
      <c r="P344" s="14" t="s">
        <v>88</v>
      </c>
    </row>
    <row r="345" spans="1:16" x14ac:dyDescent="0.35">
      <c r="A345" s="14" t="s">
        <v>475</v>
      </c>
      <c r="B345" s="15">
        <v>41934</v>
      </c>
      <c r="C345" s="14" t="s">
        <v>57</v>
      </c>
      <c r="D345" s="14" t="s">
        <v>62</v>
      </c>
      <c r="E345" s="14" t="s">
        <v>91</v>
      </c>
      <c r="F345" s="14" t="s">
        <v>118</v>
      </c>
      <c r="G345" s="14" t="s">
        <v>54</v>
      </c>
      <c r="H345" s="14">
        <v>2</v>
      </c>
      <c r="I345" s="16">
        <v>39.86</v>
      </c>
      <c r="J345" s="16">
        <v>12</v>
      </c>
      <c r="K345" s="16">
        <v>79.72</v>
      </c>
      <c r="L345" s="16">
        <v>55.72</v>
      </c>
      <c r="M345" s="14">
        <v>2014</v>
      </c>
      <c r="N345" s="14">
        <v>10</v>
      </c>
      <c r="O345" s="14" t="s">
        <v>79</v>
      </c>
      <c r="P345" s="14" t="s">
        <v>88</v>
      </c>
    </row>
    <row r="346" spans="1:16" x14ac:dyDescent="0.35">
      <c r="A346" s="14" t="s">
        <v>476</v>
      </c>
      <c r="B346" s="15">
        <v>41934</v>
      </c>
      <c r="C346" s="14" t="s">
        <v>59</v>
      </c>
      <c r="D346" s="14" t="s">
        <v>68</v>
      </c>
      <c r="E346" s="14" t="s">
        <v>131</v>
      </c>
      <c r="F346" s="14" t="s">
        <v>115</v>
      </c>
      <c r="G346" s="14" t="s">
        <v>56</v>
      </c>
      <c r="H346" s="14">
        <v>1</v>
      </c>
      <c r="I346" s="16">
        <v>611.76</v>
      </c>
      <c r="J346" s="16">
        <v>220</v>
      </c>
      <c r="K346" s="16">
        <v>611.76</v>
      </c>
      <c r="L346" s="16">
        <v>391.76</v>
      </c>
      <c r="M346" s="14">
        <v>2014</v>
      </c>
      <c r="N346" s="14">
        <v>10</v>
      </c>
      <c r="O346" s="14" t="s">
        <v>79</v>
      </c>
      <c r="P346" s="14" t="s">
        <v>88</v>
      </c>
    </row>
    <row r="347" spans="1:16" x14ac:dyDescent="0.35">
      <c r="A347" s="14" t="s">
        <v>477</v>
      </c>
      <c r="B347" s="15">
        <v>41936</v>
      </c>
      <c r="C347" s="14" t="s">
        <v>59</v>
      </c>
      <c r="D347" s="14" t="s">
        <v>68</v>
      </c>
      <c r="E347" s="14" t="s">
        <v>117</v>
      </c>
      <c r="F347" s="14" t="s">
        <v>137</v>
      </c>
      <c r="G347" s="14" t="s">
        <v>54</v>
      </c>
      <c r="H347" s="14">
        <v>1</v>
      </c>
      <c r="I347" s="16">
        <v>447.25</v>
      </c>
      <c r="J347" s="16">
        <v>180</v>
      </c>
      <c r="K347" s="16">
        <v>447.25</v>
      </c>
      <c r="L347" s="16">
        <v>267.25</v>
      </c>
      <c r="M347" s="14">
        <v>2014</v>
      </c>
      <c r="N347" s="14">
        <v>10</v>
      </c>
      <c r="O347" s="14" t="s">
        <v>79</v>
      </c>
      <c r="P347" s="14" t="s">
        <v>88</v>
      </c>
    </row>
    <row r="348" spans="1:16" x14ac:dyDescent="0.35">
      <c r="A348" s="14" t="s">
        <v>478</v>
      </c>
      <c r="B348" s="15">
        <v>41937</v>
      </c>
      <c r="C348" s="14" t="s">
        <v>55</v>
      </c>
      <c r="D348" s="14" t="s">
        <v>63</v>
      </c>
      <c r="E348" s="14" t="s">
        <v>146</v>
      </c>
      <c r="F348" s="14" t="s">
        <v>115</v>
      </c>
      <c r="G348" s="14" t="s">
        <v>56</v>
      </c>
      <c r="H348" s="14">
        <v>3</v>
      </c>
      <c r="I348" s="16">
        <v>590.05999999999995</v>
      </c>
      <c r="J348" s="16">
        <v>220</v>
      </c>
      <c r="K348" s="16">
        <v>1770.18</v>
      </c>
      <c r="L348" s="16">
        <v>1110.18</v>
      </c>
      <c r="M348" s="14">
        <v>2014</v>
      </c>
      <c r="N348" s="14">
        <v>10</v>
      </c>
      <c r="O348" s="14" t="s">
        <v>79</v>
      </c>
      <c r="P348" s="14" t="s">
        <v>90</v>
      </c>
    </row>
    <row r="349" spans="1:16" x14ac:dyDescent="0.35">
      <c r="A349" s="14" t="s">
        <v>479</v>
      </c>
      <c r="B349" s="15">
        <v>41938</v>
      </c>
      <c r="C349" s="14" t="s">
        <v>59</v>
      </c>
      <c r="D349" s="14" t="s">
        <v>61</v>
      </c>
      <c r="E349" s="14" t="s">
        <v>91</v>
      </c>
      <c r="F349" s="14" t="s">
        <v>142</v>
      </c>
      <c r="G349" s="14" t="s">
        <v>58</v>
      </c>
      <c r="H349" s="14">
        <v>2</v>
      </c>
      <c r="I349" s="16">
        <v>17.16</v>
      </c>
      <c r="J349" s="16">
        <v>4</v>
      </c>
      <c r="K349" s="16">
        <v>34.32</v>
      </c>
      <c r="L349" s="16">
        <v>26.32</v>
      </c>
      <c r="M349" s="14">
        <v>2014</v>
      </c>
      <c r="N349" s="14">
        <v>10</v>
      </c>
      <c r="O349" s="14" t="s">
        <v>79</v>
      </c>
      <c r="P349" s="14" t="s">
        <v>88</v>
      </c>
    </row>
    <row r="350" spans="1:16" x14ac:dyDescent="0.35">
      <c r="A350" s="14" t="s">
        <v>480</v>
      </c>
      <c r="B350" s="15">
        <v>41939</v>
      </c>
      <c r="C350" s="14" t="s">
        <v>57</v>
      </c>
      <c r="D350" s="14" t="s">
        <v>62</v>
      </c>
      <c r="E350" s="14" t="s">
        <v>150</v>
      </c>
      <c r="F350" s="14" t="s">
        <v>128</v>
      </c>
      <c r="G350" s="14" t="s">
        <v>54</v>
      </c>
      <c r="H350" s="14">
        <v>2</v>
      </c>
      <c r="I350" s="16">
        <v>119.03</v>
      </c>
      <c r="J350" s="16">
        <v>40</v>
      </c>
      <c r="K350" s="16">
        <v>238.06</v>
      </c>
      <c r="L350" s="16">
        <v>158.06</v>
      </c>
      <c r="M350" s="14">
        <v>2014</v>
      </c>
      <c r="N350" s="14">
        <v>10</v>
      </c>
      <c r="O350" s="14" t="s">
        <v>79</v>
      </c>
      <c r="P350" s="14" t="s">
        <v>88</v>
      </c>
    </row>
    <row r="351" spans="1:16" x14ac:dyDescent="0.35">
      <c r="A351" s="14" t="s">
        <v>481</v>
      </c>
      <c r="B351" s="15">
        <v>41940</v>
      </c>
      <c r="C351" s="14" t="s">
        <v>55</v>
      </c>
      <c r="D351" s="14" t="s">
        <v>65</v>
      </c>
      <c r="E351" s="14" t="s">
        <v>131</v>
      </c>
      <c r="F351" s="14" t="s">
        <v>137</v>
      </c>
      <c r="G351" s="14" t="s">
        <v>54</v>
      </c>
      <c r="H351" s="14">
        <v>1</v>
      </c>
      <c r="I351" s="16">
        <v>462.32</v>
      </c>
      <c r="J351" s="16">
        <v>180</v>
      </c>
      <c r="K351" s="16">
        <v>462.32</v>
      </c>
      <c r="L351" s="16">
        <v>282.32</v>
      </c>
      <c r="M351" s="14">
        <v>2014</v>
      </c>
      <c r="N351" s="14">
        <v>10</v>
      </c>
      <c r="O351" s="14" t="s">
        <v>79</v>
      </c>
      <c r="P351" s="14" t="s">
        <v>88</v>
      </c>
    </row>
    <row r="352" spans="1:16" x14ac:dyDescent="0.35">
      <c r="A352" s="14" t="s">
        <v>482</v>
      </c>
      <c r="B352" s="15">
        <v>41941</v>
      </c>
      <c r="C352" s="14" t="s">
        <v>53</v>
      </c>
      <c r="D352" s="14" t="s">
        <v>64</v>
      </c>
      <c r="E352" s="14" t="s">
        <v>89</v>
      </c>
      <c r="F352" s="14" t="s">
        <v>115</v>
      </c>
      <c r="G352" s="14" t="s">
        <v>56</v>
      </c>
      <c r="H352" s="14">
        <v>3</v>
      </c>
      <c r="I352" s="16">
        <v>596.47</v>
      </c>
      <c r="J352" s="16">
        <v>220</v>
      </c>
      <c r="K352" s="16">
        <v>1789.41</v>
      </c>
      <c r="L352" s="16">
        <v>1129.4100000000001</v>
      </c>
      <c r="M352" s="14">
        <v>2014</v>
      </c>
      <c r="N352" s="14">
        <v>10</v>
      </c>
      <c r="O352" s="14" t="s">
        <v>79</v>
      </c>
      <c r="P352" s="14" t="s">
        <v>90</v>
      </c>
    </row>
    <row r="353" spans="1:16" x14ac:dyDescent="0.35">
      <c r="A353" s="14" t="s">
        <v>483</v>
      </c>
      <c r="B353" s="15">
        <v>41941</v>
      </c>
      <c r="C353" s="14" t="s">
        <v>55</v>
      </c>
      <c r="D353" s="14" t="s">
        <v>65</v>
      </c>
      <c r="E353" s="14" t="s">
        <v>89</v>
      </c>
      <c r="F353" s="14" t="s">
        <v>118</v>
      </c>
      <c r="G353" s="14" t="s">
        <v>54</v>
      </c>
      <c r="H353" s="14">
        <v>3</v>
      </c>
      <c r="I353" s="16">
        <v>37.42</v>
      </c>
      <c r="J353" s="16">
        <v>12</v>
      </c>
      <c r="K353" s="16">
        <v>112.26</v>
      </c>
      <c r="L353" s="16">
        <v>76.260000000000005</v>
      </c>
      <c r="M353" s="14">
        <v>2014</v>
      </c>
      <c r="N353" s="14">
        <v>10</v>
      </c>
      <c r="O353" s="14" t="s">
        <v>79</v>
      </c>
      <c r="P353" s="14" t="s">
        <v>88</v>
      </c>
    </row>
    <row r="354" spans="1:16" x14ac:dyDescent="0.35">
      <c r="A354" s="14" t="s">
        <v>484</v>
      </c>
      <c r="B354" s="15">
        <v>41941</v>
      </c>
      <c r="C354" s="14" t="s">
        <v>57</v>
      </c>
      <c r="D354" s="14" t="s">
        <v>66</v>
      </c>
      <c r="E354" s="14" t="s">
        <v>89</v>
      </c>
      <c r="F354" s="14" t="s">
        <v>115</v>
      </c>
      <c r="G354" s="14" t="s">
        <v>56</v>
      </c>
      <c r="H354" s="14">
        <v>3</v>
      </c>
      <c r="I354" s="16">
        <v>607.73</v>
      </c>
      <c r="J354" s="16">
        <v>220</v>
      </c>
      <c r="K354" s="16">
        <v>1823.19</v>
      </c>
      <c r="L354" s="16">
        <v>1163.19</v>
      </c>
      <c r="M354" s="14">
        <v>2014</v>
      </c>
      <c r="N354" s="14">
        <v>10</v>
      </c>
      <c r="O354" s="14" t="s">
        <v>79</v>
      </c>
      <c r="P354" s="14" t="s">
        <v>90</v>
      </c>
    </row>
    <row r="355" spans="1:16" x14ac:dyDescent="0.35">
      <c r="A355" s="14" t="s">
        <v>485</v>
      </c>
      <c r="B355" s="15">
        <v>41941</v>
      </c>
      <c r="C355" s="14" t="s">
        <v>59</v>
      </c>
      <c r="D355" s="14" t="s">
        <v>68</v>
      </c>
      <c r="E355" s="14" t="s">
        <v>87</v>
      </c>
      <c r="F355" s="14" t="s">
        <v>142</v>
      </c>
      <c r="G355" s="14" t="s">
        <v>58</v>
      </c>
      <c r="H355" s="14">
        <v>3</v>
      </c>
      <c r="I355" s="16">
        <v>16.41</v>
      </c>
      <c r="J355" s="16">
        <v>4</v>
      </c>
      <c r="K355" s="16">
        <v>49.23</v>
      </c>
      <c r="L355" s="16">
        <v>37.229999999999997</v>
      </c>
      <c r="M355" s="14">
        <v>2014</v>
      </c>
      <c r="N355" s="14">
        <v>10</v>
      </c>
      <c r="O355" s="14" t="s">
        <v>79</v>
      </c>
      <c r="P355" s="14" t="s">
        <v>88</v>
      </c>
    </row>
    <row r="356" spans="1:16" x14ac:dyDescent="0.35">
      <c r="A356" s="14" t="s">
        <v>486</v>
      </c>
      <c r="B356" s="15">
        <v>41943</v>
      </c>
      <c r="C356" s="14" t="s">
        <v>55</v>
      </c>
      <c r="D356" s="14" t="s">
        <v>65</v>
      </c>
      <c r="E356" s="14" t="s">
        <v>134</v>
      </c>
      <c r="F356" s="14" t="s">
        <v>140</v>
      </c>
      <c r="G356" s="14" t="s">
        <v>56</v>
      </c>
      <c r="H356" s="14">
        <v>1</v>
      </c>
      <c r="I356" s="16">
        <v>251.16</v>
      </c>
      <c r="J356" s="16">
        <v>95</v>
      </c>
      <c r="K356" s="16">
        <v>251.16</v>
      </c>
      <c r="L356" s="16">
        <v>156.16</v>
      </c>
      <c r="M356" s="14">
        <v>2014</v>
      </c>
      <c r="N356" s="14">
        <v>10</v>
      </c>
      <c r="O356" s="14" t="s">
        <v>79</v>
      </c>
      <c r="P356" s="14" t="s">
        <v>88</v>
      </c>
    </row>
    <row r="357" spans="1:16" x14ac:dyDescent="0.35">
      <c r="A357" s="14" t="s">
        <v>487</v>
      </c>
      <c r="B357" s="15">
        <v>41945</v>
      </c>
      <c r="C357" s="14" t="s">
        <v>55</v>
      </c>
      <c r="D357" s="14" t="s">
        <v>65</v>
      </c>
      <c r="E357" s="14" t="s">
        <v>87</v>
      </c>
      <c r="F357" s="14" t="s">
        <v>128</v>
      </c>
      <c r="G357" s="14" t="s">
        <v>54</v>
      </c>
      <c r="H357" s="14">
        <v>4</v>
      </c>
      <c r="I357" s="16">
        <v>74.12</v>
      </c>
      <c r="J357" s="16">
        <v>40</v>
      </c>
      <c r="K357" s="16">
        <v>296.48</v>
      </c>
      <c r="L357" s="16">
        <v>136.47999999999999</v>
      </c>
      <c r="M357" s="14">
        <v>2014</v>
      </c>
      <c r="N357" s="14">
        <v>11</v>
      </c>
      <c r="O357" s="14" t="s">
        <v>80</v>
      </c>
      <c r="P357" s="14" t="s">
        <v>88</v>
      </c>
    </row>
    <row r="358" spans="1:16" x14ac:dyDescent="0.35">
      <c r="A358" s="14" t="s">
        <v>488</v>
      </c>
      <c r="B358" s="15">
        <v>41945</v>
      </c>
      <c r="C358" s="14" t="s">
        <v>57</v>
      </c>
      <c r="D358" s="14" t="s">
        <v>62</v>
      </c>
      <c r="E358" s="14" t="s">
        <v>100</v>
      </c>
      <c r="F358" s="14" t="s">
        <v>137</v>
      </c>
      <c r="G358" s="14" t="s">
        <v>54</v>
      </c>
      <c r="H358" s="14">
        <v>1</v>
      </c>
      <c r="I358" s="16">
        <v>281.44</v>
      </c>
      <c r="J358" s="16">
        <v>180</v>
      </c>
      <c r="K358" s="16">
        <v>281.44</v>
      </c>
      <c r="L358" s="16">
        <v>101.44</v>
      </c>
      <c r="M358" s="14">
        <v>2014</v>
      </c>
      <c r="N358" s="14">
        <v>11</v>
      </c>
      <c r="O358" s="14" t="s">
        <v>80</v>
      </c>
      <c r="P358" s="14" t="s">
        <v>88</v>
      </c>
    </row>
    <row r="359" spans="1:16" x14ac:dyDescent="0.35">
      <c r="A359" s="14" t="s">
        <v>489</v>
      </c>
      <c r="B359" s="15">
        <v>41947</v>
      </c>
      <c r="C359" s="14" t="s">
        <v>59</v>
      </c>
      <c r="D359" s="14" t="s">
        <v>68</v>
      </c>
      <c r="E359" s="14" t="s">
        <v>91</v>
      </c>
      <c r="F359" s="14" t="s">
        <v>115</v>
      </c>
      <c r="G359" s="14" t="s">
        <v>56</v>
      </c>
      <c r="H359" s="14">
        <v>3</v>
      </c>
      <c r="I359" s="16">
        <v>387.58</v>
      </c>
      <c r="J359" s="16">
        <v>220</v>
      </c>
      <c r="K359" s="16">
        <v>1162.74</v>
      </c>
      <c r="L359" s="16">
        <v>502.74</v>
      </c>
      <c r="M359" s="14">
        <v>2014</v>
      </c>
      <c r="N359" s="14">
        <v>11</v>
      </c>
      <c r="O359" s="14" t="s">
        <v>80</v>
      </c>
      <c r="P359" s="14" t="s">
        <v>90</v>
      </c>
    </row>
    <row r="360" spans="1:16" x14ac:dyDescent="0.35">
      <c r="A360" s="14" t="s">
        <v>490</v>
      </c>
      <c r="B360" s="15">
        <v>41949</v>
      </c>
      <c r="C360" s="14" t="s">
        <v>53</v>
      </c>
      <c r="D360" s="14" t="s">
        <v>68</v>
      </c>
      <c r="E360" s="14" t="s">
        <v>131</v>
      </c>
      <c r="F360" s="14" t="s">
        <v>125</v>
      </c>
      <c r="G360" s="14" t="s">
        <v>56</v>
      </c>
      <c r="H360" s="14">
        <v>3</v>
      </c>
      <c r="I360" s="16">
        <v>131.30000000000001</v>
      </c>
      <c r="J360" s="16">
        <v>70</v>
      </c>
      <c r="K360" s="16">
        <v>393.9</v>
      </c>
      <c r="L360" s="16">
        <v>183.9</v>
      </c>
      <c r="M360" s="14">
        <v>2014</v>
      </c>
      <c r="N360" s="14">
        <v>11</v>
      </c>
      <c r="O360" s="14" t="s">
        <v>80</v>
      </c>
      <c r="P360" s="14" t="s">
        <v>88</v>
      </c>
    </row>
    <row r="361" spans="1:16" x14ac:dyDescent="0.35">
      <c r="A361" s="14" t="s">
        <v>491</v>
      </c>
      <c r="B361" s="15">
        <v>41949</v>
      </c>
      <c r="C361" s="14" t="s">
        <v>57</v>
      </c>
      <c r="D361" s="14" t="s">
        <v>62</v>
      </c>
      <c r="E361" s="14" t="s">
        <v>117</v>
      </c>
      <c r="F361" s="14" t="s">
        <v>132</v>
      </c>
      <c r="G361" s="14" t="s">
        <v>56</v>
      </c>
      <c r="H361" s="14">
        <v>3</v>
      </c>
      <c r="I361" s="16">
        <v>34.01</v>
      </c>
      <c r="J361" s="16">
        <v>15</v>
      </c>
      <c r="K361" s="16">
        <v>102.03</v>
      </c>
      <c r="L361" s="16">
        <v>57.03</v>
      </c>
      <c r="M361" s="14">
        <v>2014</v>
      </c>
      <c r="N361" s="14">
        <v>11</v>
      </c>
      <c r="O361" s="14" t="s">
        <v>80</v>
      </c>
      <c r="P361" s="14" t="s">
        <v>88</v>
      </c>
    </row>
    <row r="362" spans="1:16" x14ac:dyDescent="0.35">
      <c r="A362" s="14" t="s">
        <v>492</v>
      </c>
      <c r="B362" s="15">
        <v>41950</v>
      </c>
      <c r="C362" s="14" t="s">
        <v>57</v>
      </c>
      <c r="D362" s="14" t="s">
        <v>66</v>
      </c>
      <c r="E362" s="14" t="s">
        <v>100</v>
      </c>
      <c r="F362" s="14" t="s">
        <v>128</v>
      </c>
      <c r="G362" s="14" t="s">
        <v>54</v>
      </c>
      <c r="H362" s="14">
        <v>3</v>
      </c>
      <c r="I362" s="16">
        <v>77.930000000000007</v>
      </c>
      <c r="J362" s="16">
        <v>40</v>
      </c>
      <c r="K362" s="16">
        <v>233.79</v>
      </c>
      <c r="L362" s="16">
        <v>113.79</v>
      </c>
      <c r="M362" s="14">
        <v>2014</v>
      </c>
      <c r="N362" s="14">
        <v>11</v>
      </c>
      <c r="O362" s="14" t="s">
        <v>80</v>
      </c>
      <c r="P362" s="14" t="s">
        <v>88</v>
      </c>
    </row>
    <row r="363" spans="1:16" x14ac:dyDescent="0.35">
      <c r="A363" s="14" t="s">
        <v>493</v>
      </c>
      <c r="B363" s="15">
        <v>41951</v>
      </c>
      <c r="C363" s="14" t="s">
        <v>55</v>
      </c>
      <c r="D363" s="14" t="s">
        <v>65</v>
      </c>
      <c r="E363" s="14" t="s">
        <v>146</v>
      </c>
      <c r="F363" s="14" t="s">
        <v>142</v>
      </c>
      <c r="G363" s="14" t="s">
        <v>58</v>
      </c>
      <c r="H363" s="14">
        <v>2</v>
      </c>
      <c r="I363" s="16">
        <v>10.24</v>
      </c>
      <c r="J363" s="16">
        <v>4</v>
      </c>
      <c r="K363" s="16">
        <v>20.48</v>
      </c>
      <c r="L363" s="16">
        <v>12.48</v>
      </c>
      <c r="M363" s="14">
        <v>2014</v>
      </c>
      <c r="N363" s="14">
        <v>11</v>
      </c>
      <c r="O363" s="14" t="s">
        <v>80</v>
      </c>
      <c r="P363" s="14" t="s">
        <v>88</v>
      </c>
    </row>
    <row r="364" spans="1:16" x14ac:dyDescent="0.35">
      <c r="A364" s="14" t="s">
        <v>494</v>
      </c>
      <c r="B364" s="15">
        <v>41953</v>
      </c>
      <c r="C364" s="14" t="s">
        <v>53</v>
      </c>
      <c r="D364" s="14" t="s">
        <v>67</v>
      </c>
      <c r="E364" s="14" t="s">
        <v>100</v>
      </c>
      <c r="F364" s="14" t="s">
        <v>142</v>
      </c>
      <c r="G364" s="14" t="s">
        <v>58</v>
      </c>
      <c r="H364" s="14">
        <v>4</v>
      </c>
      <c r="I364" s="16">
        <v>10.199999999999999</v>
      </c>
      <c r="J364" s="16">
        <v>4</v>
      </c>
      <c r="K364" s="16">
        <v>40.799999999999997</v>
      </c>
      <c r="L364" s="16">
        <v>24.8</v>
      </c>
      <c r="M364" s="14">
        <v>2014</v>
      </c>
      <c r="N364" s="14">
        <v>11</v>
      </c>
      <c r="O364" s="14" t="s">
        <v>80</v>
      </c>
      <c r="P364" s="14" t="s">
        <v>88</v>
      </c>
    </row>
    <row r="365" spans="1:16" x14ac:dyDescent="0.35">
      <c r="A365" s="14" t="s">
        <v>495</v>
      </c>
      <c r="B365" s="15">
        <v>41955</v>
      </c>
      <c r="C365" s="14" t="s">
        <v>59</v>
      </c>
      <c r="D365" s="14" t="s">
        <v>68</v>
      </c>
      <c r="E365" s="14" t="s">
        <v>131</v>
      </c>
      <c r="F365" s="14" t="s">
        <v>115</v>
      </c>
      <c r="G365" s="14" t="s">
        <v>56</v>
      </c>
      <c r="H365" s="14">
        <v>3</v>
      </c>
      <c r="I365" s="16">
        <v>398.2</v>
      </c>
      <c r="J365" s="16">
        <v>220</v>
      </c>
      <c r="K365" s="16">
        <v>1194.5999999999999</v>
      </c>
      <c r="L365" s="16">
        <v>534.6</v>
      </c>
      <c r="M365" s="14">
        <v>2014</v>
      </c>
      <c r="N365" s="14">
        <v>11</v>
      </c>
      <c r="O365" s="14" t="s">
        <v>80</v>
      </c>
      <c r="P365" s="14" t="s">
        <v>90</v>
      </c>
    </row>
    <row r="366" spans="1:16" x14ac:dyDescent="0.35">
      <c r="A366" s="14" t="s">
        <v>496</v>
      </c>
      <c r="B366" s="15">
        <v>41956</v>
      </c>
      <c r="C366" s="14" t="s">
        <v>57</v>
      </c>
      <c r="D366" s="14" t="s">
        <v>62</v>
      </c>
      <c r="E366" s="14" t="s">
        <v>114</v>
      </c>
      <c r="F366" s="14" t="s">
        <v>118</v>
      </c>
      <c r="G366" s="14" t="s">
        <v>54</v>
      </c>
      <c r="H366" s="14">
        <v>2</v>
      </c>
      <c r="I366" s="16">
        <v>24.92</v>
      </c>
      <c r="J366" s="16">
        <v>12</v>
      </c>
      <c r="K366" s="16">
        <v>49.84</v>
      </c>
      <c r="L366" s="16">
        <v>25.84</v>
      </c>
      <c r="M366" s="14">
        <v>2014</v>
      </c>
      <c r="N366" s="14">
        <v>11</v>
      </c>
      <c r="O366" s="14" t="s">
        <v>80</v>
      </c>
      <c r="P366" s="14" t="s">
        <v>88</v>
      </c>
    </row>
    <row r="367" spans="1:16" x14ac:dyDescent="0.35">
      <c r="A367" s="14" t="s">
        <v>497</v>
      </c>
      <c r="B367" s="15">
        <v>41956</v>
      </c>
      <c r="C367" s="14" t="s">
        <v>53</v>
      </c>
      <c r="D367" s="14" t="s">
        <v>64</v>
      </c>
      <c r="E367" s="14" t="s">
        <v>100</v>
      </c>
      <c r="F367" s="14" t="s">
        <v>156</v>
      </c>
      <c r="G367" s="14" t="s">
        <v>54</v>
      </c>
      <c r="H367" s="14">
        <v>3</v>
      </c>
      <c r="I367" s="16">
        <v>41.47</v>
      </c>
      <c r="J367" s="16">
        <v>18</v>
      </c>
      <c r="K367" s="16">
        <v>124.41</v>
      </c>
      <c r="L367" s="16">
        <v>70.41</v>
      </c>
      <c r="M367" s="14">
        <v>2014</v>
      </c>
      <c r="N367" s="14">
        <v>11</v>
      </c>
      <c r="O367" s="14" t="s">
        <v>80</v>
      </c>
      <c r="P367" s="14" t="s">
        <v>88</v>
      </c>
    </row>
    <row r="368" spans="1:16" x14ac:dyDescent="0.35">
      <c r="A368" s="14" t="s">
        <v>498</v>
      </c>
      <c r="B368" s="15">
        <v>41956</v>
      </c>
      <c r="C368" s="14" t="s">
        <v>57</v>
      </c>
      <c r="D368" s="14" t="s">
        <v>62</v>
      </c>
      <c r="E368" s="14" t="s">
        <v>98</v>
      </c>
      <c r="F368" s="14" t="s">
        <v>140</v>
      </c>
      <c r="G368" s="14" t="s">
        <v>56</v>
      </c>
      <c r="H368" s="14">
        <v>3</v>
      </c>
      <c r="I368" s="16">
        <v>153.78</v>
      </c>
      <c r="J368" s="16">
        <v>95</v>
      </c>
      <c r="K368" s="16">
        <v>461.34</v>
      </c>
      <c r="L368" s="16">
        <v>176.34</v>
      </c>
      <c r="M368" s="14">
        <v>2014</v>
      </c>
      <c r="N368" s="14">
        <v>11</v>
      </c>
      <c r="O368" s="14" t="s">
        <v>80</v>
      </c>
      <c r="P368" s="14" t="s">
        <v>88</v>
      </c>
    </row>
    <row r="369" spans="1:16" x14ac:dyDescent="0.35">
      <c r="A369" s="14" t="s">
        <v>499</v>
      </c>
      <c r="B369" s="15">
        <v>41958</v>
      </c>
      <c r="C369" s="14" t="s">
        <v>53</v>
      </c>
      <c r="D369" s="14" t="s">
        <v>67</v>
      </c>
      <c r="E369" s="14" t="s">
        <v>98</v>
      </c>
      <c r="F369" s="14" t="s">
        <v>123</v>
      </c>
      <c r="G369" s="14" t="s">
        <v>54</v>
      </c>
      <c r="H369" s="14">
        <v>3</v>
      </c>
      <c r="I369" s="16">
        <v>56.21</v>
      </c>
      <c r="J369" s="16">
        <v>28</v>
      </c>
      <c r="K369" s="16">
        <v>168.63</v>
      </c>
      <c r="L369" s="16">
        <v>84.63</v>
      </c>
      <c r="M369" s="14">
        <v>2014</v>
      </c>
      <c r="N369" s="14">
        <v>11</v>
      </c>
      <c r="O369" s="14" t="s">
        <v>80</v>
      </c>
      <c r="P369" s="14" t="s">
        <v>88</v>
      </c>
    </row>
    <row r="370" spans="1:16" x14ac:dyDescent="0.35">
      <c r="A370" s="14" t="s">
        <v>500</v>
      </c>
      <c r="B370" s="15">
        <v>41959</v>
      </c>
      <c r="C370" s="14" t="s">
        <v>57</v>
      </c>
      <c r="D370" s="14" t="s">
        <v>66</v>
      </c>
      <c r="E370" s="14" t="s">
        <v>98</v>
      </c>
      <c r="F370" s="14" t="s">
        <v>140</v>
      </c>
      <c r="G370" s="14" t="s">
        <v>56</v>
      </c>
      <c r="H370" s="14">
        <v>3</v>
      </c>
      <c r="I370" s="16">
        <v>153.07</v>
      </c>
      <c r="J370" s="16">
        <v>95</v>
      </c>
      <c r="K370" s="16">
        <v>459.21</v>
      </c>
      <c r="L370" s="16">
        <v>174.21</v>
      </c>
      <c r="M370" s="14">
        <v>2014</v>
      </c>
      <c r="N370" s="14">
        <v>11</v>
      </c>
      <c r="O370" s="14" t="s">
        <v>80</v>
      </c>
      <c r="P370" s="14" t="s">
        <v>88</v>
      </c>
    </row>
    <row r="371" spans="1:16" x14ac:dyDescent="0.35">
      <c r="A371" s="14" t="s">
        <v>501</v>
      </c>
      <c r="B371" s="15">
        <v>41960</v>
      </c>
      <c r="C371" s="14" t="s">
        <v>55</v>
      </c>
      <c r="D371" s="14" t="s">
        <v>63</v>
      </c>
      <c r="E371" s="14" t="s">
        <v>134</v>
      </c>
      <c r="F371" s="14" t="s">
        <v>128</v>
      </c>
      <c r="G371" s="14" t="s">
        <v>54</v>
      </c>
      <c r="H371" s="14">
        <v>1</v>
      </c>
      <c r="I371" s="16">
        <v>79.12</v>
      </c>
      <c r="J371" s="16">
        <v>40</v>
      </c>
      <c r="K371" s="16">
        <v>79.12</v>
      </c>
      <c r="L371" s="16">
        <v>39.119999999999997</v>
      </c>
      <c r="M371" s="14">
        <v>2014</v>
      </c>
      <c r="N371" s="14">
        <v>11</v>
      </c>
      <c r="O371" s="14" t="s">
        <v>80</v>
      </c>
      <c r="P371" s="14" t="s">
        <v>88</v>
      </c>
    </row>
    <row r="372" spans="1:16" x14ac:dyDescent="0.35">
      <c r="A372" s="14" t="s">
        <v>502</v>
      </c>
      <c r="B372" s="15">
        <v>41962</v>
      </c>
      <c r="C372" s="14" t="s">
        <v>53</v>
      </c>
      <c r="D372" s="14" t="s">
        <v>67</v>
      </c>
      <c r="E372" s="14" t="s">
        <v>114</v>
      </c>
      <c r="F372" s="14" t="s">
        <v>123</v>
      </c>
      <c r="G372" s="14" t="s">
        <v>54</v>
      </c>
      <c r="H372" s="14">
        <v>4</v>
      </c>
      <c r="I372" s="16">
        <v>56.22</v>
      </c>
      <c r="J372" s="16">
        <v>28</v>
      </c>
      <c r="K372" s="16">
        <v>224.88</v>
      </c>
      <c r="L372" s="16">
        <v>112.88</v>
      </c>
      <c r="M372" s="14">
        <v>2014</v>
      </c>
      <c r="N372" s="14">
        <v>11</v>
      </c>
      <c r="O372" s="14" t="s">
        <v>80</v>
      </c>
      <c r="P372" s="14" t="s">
        <v>88</v>
      </c>
    </row>
    <row r="373" spans="1:16" x14ac:dyDescent="0.35">
      <c r="A373" s="14" t="s">
        <v>503</v>
      </c>
      <c r="B373" s="15">
        <v>41963</v>
      </c>
      <c r="C373" s="14" t="s">
        <v>59</v>
      </c>
      <c r="D373" s="14" t="s">
        <v>61</v>
      </c>
      <c r="E373" s="14" t="s">
        <v>164</v>
      </c>
      <c r="F373" s="14" t="s">
        <v>128</v>
      </c>
      <c r="G373" s="14" t="s">
        <v>54</v>
      </c>
      <c r="H373" s="14">
        <v>1</v>
      </c>
      <c r="I373" s="16">
        <v>73.39</v>
      </c>
      <c r="J373" s="16">
        <v>40</v>
      </c>
      <c r="K373" s="16">
        <v>73.39</v>
      </c>
      <c r="L373" s="16">
        <v>33.39</v>
      </c>
      <c r="M373" s="14">
        <v>2014</v>
      </c>
      <c r="N373" s="14">
        <v>11</v>
      </c>
      <c r="O373" s="14" t="s">
        <v>80</v>
      </c>
      <c r="P373" s="14" t="s">
        <v>88</v>
      </c>
    </row>
    <row r="374" spans="1:16" x14ac:dyDescent="0.35">
      <c r="A374" s="14" t="s">
        <v>504</v>
      </c>
      <c r="B374" s="15">
        <v>41965</v>
      </c>
      <c r="C374" s="14" t="s">
        <v>55</v>
      </c>
      <c r="D374" s="14" t="s">
        <v>63</v>
      </c>
      <c r="E374" s="14" t="s">
        <v>144</v>
      </c>
      <c r="F374" s="14" t="s">
        <v>132</v>
      </c>
      <c r="G374" s="14" t="s">
        <v>56</v>
      </c>
      <c r="H374" s="14">
        <v>1</v>
      </c>
      <c r="I374" s="16">
        <v>31.64</v>
      </c>
      <c r="J374" s="16">
        <v>15</v>
      </c>
      <c r="K374" s="16">
        <v>31.64</v>
      </c>
      <c r="L374" s="16">
        <v>16.64</v>
      </c>
      <c r="M374" s="14">
        <v>2014</v>
      </c>
      <c r="N374" s="14">
        <v>11</v>
      </c>
      <c r="O374" s="14" t="s">
        <v>80</v>
      </c>
      <c r="P374" s="14" t="s">
        <v>88</v>
      </c>
    </row>
    <row r="375" spans="1:16" x14ac:dyDescent="0.35">
      <c r="A375" s="14" t="s">
        <v>505</v>
      </c>
      <c r="B375" s="15">
        <v>41965</v>
      </c>
      <c r="C375" s="14" t="s">
        <v>57</v>
      </c>
      <c r="D375" s="14" t="s">
        <v>66</v>
      </c>
      <c r="E375" s="14" t="s">
        <v>114</v>
      </c>
      <c r="F375" s="14" t="s">
        <v>125</v>
      </c>
      <c r="G375" s="14" t="s">
        <v>56</v>
      </c>
      <c r="H375" s="14">
        <v>1</v>
      </c>
      <c r="I375" s="16">
        <v>141.47999999999999</v>
      </c>
      <c r="J375" s="16">
        <v>70</v>
      </c>
      <c r="K375" s="16">
        <v>141.47999999999999</v>
      </c>
      <c r="L375" s="16">
        <v>71.48</v>
      </c>
      <c r="M375" s="14">
        <v>2014</v>
      </c>
      <c r="N375" s="14">
        <v>11</v>
      </c>
      <c r="O375" s="14" t="s">
        <v>80</v>
      </c>
      <c r="P375" s="14" t="s">
        <v>88</v>
      </c>
    </row>
    <row r="376" spans="1:16" x14ac:dyDescent="0.35">
      <c r="A376" s="14" t="s">
        <v>506</v>
      </c>
      <c r="B376" s="15">
        <v>41965</v>
      </c>
      <c r="C376" s="14" t="s">
        <v>57</v>
      </c>
      <c r="D376" s="14" t="s">
        <v>62</v>
      </c>
      <c r="E376" s="14" t="s">
        <v>117</v>
      </c>
      <c r="F376" s="14" t="s">
        <v>137</v>
      </c>
      <c r="G376" s="14" t="s">
        <v>54</v>
      </c>
      <c r="H376" s="14">
        <v>2</v>
      </c>
      <c r="I376" s="16">
        <v>278.14</v>
      </c>
      <c r="J376" s="16">
        <v>180</v>
      </c>
      <c r="K376" s="16">
        <v>556.28</v>
      </c>
      <c r="L376" s="16">
        <v>196.28</v>
      </c>
      <c r="M376" s="14">
        <v>2014</v>
      </c>
      <c r="N376" s="14">
        <v>11</v>
      </c>
      <c r="O376" s="14" t="s">
        <v>80</v>
      </c>
      <c r="P376" s="14" t="s">
        <v>88</v>
      </c>
    </row>
    <row r="377" spans="1:16" x14ac:dyDescent="0.35">
      <c r="A377" s="14" t="s">
        <v>507</v>
      </c>
      <c r="B377" s="15">
        <v>41966</v>
      </c>
      <c r="C377" s="14" t="s">
        <v>53</v>
      </c>
      <c r="D377" s="14" t="s">
        <v>64</v>
      </c>
      <c r="E377" s="14" t="s">
        <v>100</v>
      </c>
      <c r="F377" s="14" t="s">
        <v>128</v>
      </c>
      <c r="G377" s="14" t="s">
        <v>54</v>
      </c>
      <c r="H377" s="14">
        <v>2</v>
      </c>
      <c r="I377" s="16">
        <v>73.94</v>
      </c>
      <c r="J377" s="16">
        <v>40</v>
      </c>
      <c r="K377" s="16">
        <v>147.88</v>
      </c>
      <c r="L377" s="16">
        <v>67.88</v>
      </c>
      <c r="M377" s="14">
        <v>2014</v>
      </c>
      <c r="N377" s="14">
        <v>11</v>
      </c>
      <c r="O377" s="14" t="s">
        <v>80</v>
      </c>
      <c r="P377" s="14" t="s">
        <v>88</v>
      </c>
    </row>
    <row r="378" spans="1:16" x14ac:dyDescent="0.35">
      <c r="A378" s="14" t="s">
        <v>508</v>
      </c>
      <c r="B378" s="15">
        <v>41966</v>
      </c>
      <c r="C378" s="14" t="s">
        <v>55</v>
      </c>
      <c r="D378" s="14" t="s">
        <v>66</v>
      </c>
      <c r="E378" s="14" t="s">
        <v>134</v>
      </c>
      <c r="F378" s="14" t="s">
        <v>140</v>
      </c>
      <c r="G378" s="14" t="s">
        <v>56</v>
      </c>
      <c r="H378" s="14">
        <v>2</v>
      </c>
      <c r="I378" s="16">
        <v>167.77</v>
      </c>
      <c r="J378" s="16">
        <v>95</v>
      </c>
      <c r="K378" s="16">
        <v>335.54</v>
      </c>
      <c r="L378" s="16">
        <v>145.54</v>
      </c>
      <c r="M378" s="14">
        <v>2014</v>
      </c>
      <c r="N378" s="14">
        <v>11</v>
      </c>
      <c r="O378" s="14" t="s">
        <v>80</v>
      </c>
      <c r="P378" s="14" t="s">
        <v>88</v>
      </c>
    </row>
    <row r="379" spans="1:16" x14ac:dyDescent="0.35">
      <c r="A379" s="14" t="s">
        <v>509</v>
      </c>
      <c r="B379" s="15">
        <v>41966</v>
      </c>
      <c r="C379" s="14" t="s">
        <v>55</v>
      </c>
      <c r="D379" s="14" t="s">
        <v>62</v>
      </c>
      <c r="E379" s="14" t="s">
        <v>91</v>
      </c>
      <c r="F379" s="14" t="s">
        <v>137</v>
      </c>
      <c r="G379" s="14" t="s">
        <v>54</v>
      </c>
      <c r="H379" s="14">
        <v>1</v>
      </c>
      <c r="I379" s="16">
        <v>282.8</v>
      </c>
      <c r="J379" s="16">
        <v>180</v>
      </c>
      <c r="K379" s="16">
        <v>282.8</v>
      </c>
      <c r="L379" s="16">
        <v>102.8</v>
      </c>
      <c r="M379" s="14">
        <v>2014</v>
      </c>
      <c r="N379" s="14">
        <v>11</v>
      </c>
      <c r="O379" s="14" t="s">
        <v>80</v>
      </c>
      <c r="P379" s="14" t="s">
        <v>88</v>
      </c>
    </row>
    <row r="380" spans="1:16" x14ac:dyDescent="0.35">
      <c r="A380" s="14" t="s">
        <v>510</v>
      </c>
      <c r="B380" s="15">
        <v>41967</v>
      </c>
      <c r="C380" s="14" t="s">
        <v>57</v>
      </c>
      <c r="D380" s="14" t="s">
        <v>62</v>
      </c>
      <c r="E380" s="14" t="s">
        <v>117</v>
      </c>
      <c r="F380" s="14" t="s">
        <v>156</v>
      </c>
      <c r="G380" s="14" t="s">
        <v>54</v>
      </c>
      <c r="H380" s="14">
        <v>1</v>
      </c>
      <c r="I380" s="16">
        <v>39.99</v>
      </c>
      <c r="J380" s="16">
        <v>18</v>
      </c>
      <c r="K380" s="16">
        <v>39.99</v>
      </c>
      <c r="L380" s="16">
        <v>21.99</v>
      </c>
      <c r="M380" s="14">
        <v>2014</v>
      </c>
      <c r="N380" s="14">
        <v>11</v>
      </c>
      <c r="O380" s="14" t="s">
        <v>80</v>
      </c>
      <c r="P380" s="14" t="s">
        <v>88</v>
      </c>
    </row>
    <row r="381" spans="1:16" x14ac:dyDescent="0.35">
      <c r="A381" s="14" t="s">
        <v>511</v>
      </c>
      <c r="B381" s="15">
        <v>41967</v>
      </c>
      <c r="C381" s="14" t="s">
        <v>59</v>
      </c>
      <c r="D381" s="14" t="s">
        <v>61</v>
      </c>
      <c r="E381" s="14" t="s">
        <v>150</v>
      </c>
      <c r="F381" s="14" t="s">
        <v>132</v>
      </c>
      <c r="G381" s="14" t="s">
        <v>56</v>
      </c>
      <c r="H381" s="14">
        <v>2</v>
      </c>
      <c r="I381" s="16">
        <v>34.369999999999997</v>
      </c>
      <c r="J381" s="16">
        <v>15</v>
      </c>
      <c r="K381" s="16">
        <v>68.739999999999995</v>
      </c>
      <c r="L381" s="16">
        <v>38.74</v>
      </c>
      <c r="M381" s="14">
        <v>2014</v>
      </c>
      <c r="N381" s="14">
        <v>11</v>
      </c>
      <c r="O381" s="14" t="s">
        <v>80</v>
      </c>
      <c r="P381" s="14" t="s">
        <v>88</v>
      </c>
    </row>
    <row r="382" spans="1:16" x14ac:dyDescent="0.35">
      <c r="A382" s="14" t="s">
        <v>512</v>
      </c>
      <c r="B382" s="15">
        <v>41969</v>
      </c>
      <c r="C382" s="14" t="s">
        <v>53</v>
      </c>
      <c r="D382" s="14" t="s">
        <v>67</v>
      </c>
      <c r="E382" s="14" t="s">
        <v>91</v>
      </c>
      <c r="F382" s="14" t="s">
        <v>142</v>
      </c>
      <c r="G382" s="14" t="s">
        <v>58</v>
      </c>
      <c r="H382" s="14">
        <v>1</v>
      </c>
      <c r="I382" s="16">
        <v>10.38</v>
      </c>
      <c r="J382" s="16">
        <v>4</v>
      </c>
      <c r="K382" s="16">
        <v>10.38</v>
      </c>
      <c r="L382" s="16">
        <v>6.38</v>
      </c>
      <c r="M382" s="14">
        <v>2014</v>
      </c>
      <c r="N382" s="14">
        <v>11</v>
      </c>
      <c r="O382" s="14" t="s">
        <v>80</v>
      </c>
      <c r="P382" s="14" t="s">
        <v>88</v>
      </c>
    </row>
    <row r="383" spans="1:16" x14ac:dyDescent="0.35">
      <c r="A383" s="14" t="s">
        <v>513</v>
      </c>
      <c r="B383" s="15">
        <v>41970</v>
      </c>
      <c r="C383" s="14" t="s">
        <v>57</v>
      </c>
      <c r="D383" s="14" t="s">
        <v>62</v>
      </c>
      <c r="E383" s="14" t="s">
        <v>114</v>
      </c>
      <c r="F383" s="14" t="s">
        <v>118</v>
      </c>
      <c r="G383" s="14" t="s">
        <v>54</v>
      </c>
      <c r="H383" s="14">
        <v>1</v>
      </c>
      <c r="I383" s="16">
        <v>23.89</v>
      </c>
      <c r="J383" s="16">
        <v>12</v>
      </c>
      <c r="K383" s="16">
        <v>23.89</v>
      </c>
      <c r="L383" s="16">
        <v>11.89</v>
      </c>
      <c r="M383" s="14">
        <v>2014</v>
      </c>
      <c r="N383" s="14">
        <v>11</v>
      </c>
      <c r="O383" s="14" t="s">
        <v>80</v>
      </c>
      <c r="P383" s="14" t="s">
        <v>88</v>
      </c>
    </row>
    <row r="384" spans="1:16" x14ac:dyDescent="0.35">
      <c r="A384" s="14" t="s">
        <v>514</v>
      </c>
      <c r="B384" s="15">
        <v>41970</v>
      </c>
      <c r="C384" s="14" t="s">
        <v>57</v>
      </c>
      <c r="D384" s="14" t="s">
        <v>66</v>
      </c>
      <c r="E384" s="14" t="s">
        <v>131</v>
      </c>
      <c r="F384" s="14" t="s">
        <v>118</v>
      </c>
      <c r="G384" s="14" t="s">
        <v>54</v>
      </c>
      <c r="H384" s="14">
        <v>4</v>
      </c>
      <c r="I384" s="16">
        <v>25.68</v>
      </c>
      <c r="J384" s="16">
        <v>12</v>
      </c>
      <c r="K384" s="16">
        <v>102.72</v>
      </c>
      <c r="L384" s="16">
        <v>54.72</v>
      </c>
      <c r="M384" s="14">
        <v>2014</v>
      </c>
      <c r="N384" s="14">
        <v>11</v>
      </c>
      <c r="O384" s="14" t="s">
        <v>80</v>
      </c>
      <c r="P384" s="14" t="s">
        <v>88</v>
      </c>
    </row>
    <row r="385" spans="1:16" x14ac:dyDescent="0.35">
      <c r="A385" s="14" t="s">
        <v>515</v>
      </c>
      <c r="B385" s="15">
        <v>41972</v>
      </c>
      <c r="C385" s="14" t="s">
        <v>57</v>
      </c>
      <c r="D385" s="14" t="s">
        <v>66</v>
      </c>
      <c r="E385" s="14" t="s">
        <v>146</v>
      </c>
      <c r="F385" s="14" t="s">
        <v>125</v>
      </c>
      <c r="G385" s="14" t="s">
        <v>56</v>
      </c>
      <c r="H385" s="14">
        <v>4</v>
      </c>
      <c r="I385" s="16">
        <v>134.69</v>
      </c>
      <c r="J385" s="16">
        <v>70</v>
      </c>
      <c r="K385" s="16">
        <v>538.76</v>
      </c>
      <c r="L385" s="16">
        <v>258.76</v>
      </c>
      <c r="M385" s="14">
        <v>2014</v>
      </c>
      <c r="N385" s="14">
        <v>11</v>
      </c>
      <c r="O385" s="14" t="s">
        <v>80</v>
      </c>
      <c r="P385" s="14" t="s">
        <v>88</v>
      </c>
    </row>
    <row r="386" spans="1:16" x14ac:dyDescent="0.35">
      <c r="A386" s="14" t="s">
        <v>516</v>
      </c>
      <c r="B386" s="15">
        <v>41972</v>
      </c>
      <c r="C386" s="14" t="s">
        <v>53</v>
      </c>
      <c r="D386" s="14" t="s">
        <v>64</v>
      </c>
      <c r="E386" s="14" t="s">
        <v>153</v>
      </c>
      <c r="F386" s="14" t="s">
        <v>142</v>
      </c>
      <c r="G386" s="14" t="s">
        <v>58</v>
      </c>
      <c r="H386" s="14">
        <v>1</v>
      </c>
      <c r="I386" s="16">
        <v>10.48</v>
      </c>
      <c r="J386" s="16">
        <v>4</v>
      </c>
      <c r="K386" s="16">
        <v>10.48</v>
      </c>
      <c r="L386" s="16">
        <v>6.48</v>
      </c>
      <c r="M386" s="14">
        <v>2014</v>
      </c>
      <c r="N386" s="14">
        <v>11</v>
      </c>
      <c r="O386" s="14" t="s">
        <v>80</v>
      </c>
      <c r="P386" s="14" t="s">
        <v>88</v>
      </c>
    </row>
    <row r="387" spans="1:16" x14ac:dyDescent="0.35">
      <c r="A387" s="14" t="s">
        <v>517</v>
      </c>
      <c r="B387" s="15">
        <v>41973</v>
      </c>
      <c r="C387" s="14" t="s">
        <v>55</v>
      </c>
      <c r="D387" s="14" t="s">
        <v>65</v>
      </c>
      <c r="E387" s="14" t="s">
        <v>87</v>
      </c>
      <c r="F387" s="14" t="s">
        <v>123</v>
      </c>
      <c r="G387" s="14" t="s">
        <v>54</v>
      </c>
      <c r="H387" s="14">
        <v>2</v>
      </c>
      <c r="I387" s="16">
        <v>58.64</v>
      </c>
      <c r="J387" s="16">
        <v>28</v>
      </c>
      <c r="K387" s="16">
        <v>117.28</v>
      </c>
      <c r="L387" s="16">
        <v>61.28</v>
      </c>
      <c r="M387" s="14">
        <v>2014</v>
      </c>
      <c r="N387" s="14">
        <v>11</v>
      </c>
      <c r="O387" s="14" t="s">
        <v>80</v>
      </c>
      <c r="P387" s="14" t="s">
        <v>88</v>
      </c>
    </row>
    <row r="388" spans="1:16" x14ac:dyDescent="0.35">
      <c r="A388" s="14" t="s">
        <v>518</v>
      </c>
      <c r="B388" s="15">
        <v>41974</v>
      </c>
      <c r="C388" s="14" t="s">
        <v>59</v>
      </c>
      <c r="D388" s="14" t="s">
        <v>61</v>
      </c>
      <c r="E388" s="14" t="s">
        <v>87</v>
      </c>
      <c r="F388" s="14" t="s">
        <v>115</v>
      </c>
      <c r="G388" s="14" t="s">
        <v>56</v>
      </c>
      <c r="H388" s="14">
        <v>1</v>
      </c>
      <c r="I388" s="16">
        <v>595.91</v>
      </c>
      <c r="J388" s="16">
        <v>220</v>
      </c>
      <c r="K388" s="16">
        <v>595.91</v>
      </c>
      <c r="L388" s="16">
        <v>375.91</v>
      </c>
      <c r="M388" s="14">
        <v>2014</v>
      </c>
      <c r="N388" s="14">
        <v>12</v>
      </c>
      <c r="O388" s="14" t="s">
        <v>81</v>
      </c>
      <c r="P388" s="14" t="s">
        <v>88</v>
      </c>
    </row>
    <row r="389" spans="1:16" x14ac:dyDescent="0.35">
      <c r="A389" s="14" t="s">
        <v>519</v>
      </c>
      <c r="B389" s="15">
        <v>41975</v>
      </c>
      <c r="C389" s="14" t="s">
        <v>57</v>
      </c>
      <c r="D389" s="14" t="s">
        <v>66</v>
      </c>
      <c r="E389" s="14" t="s">
        <v>114</v>
      </c>
      <c r="F389" s="14" t="s">
        <v>137</v>
      </c>
      <c r="G389" s="14" t="s">
        <v>54</v>
      </c>
      <c r="H389" s="14">
        <v>2</v>
      </c>
      <c r="I389" s="16">
        <v>439.71</v>
      </c>
      <c r="J389" s="16">
        <v>180</v>
      </c>
      <c r="K389" s="16">
        <v>879.42</v>
      </c>
      <c r="L389" s="16">
        <v>519.41999999999996</v>
      </c>
      <c r="M389" s="14">
        <v>2014</v>
      </c>
      <c r="N389" s="14">
        <v>12</v>
      </c>
      <c r="O389" s="14" t="s">
        <v>81</v>
      </c>
      <c r="P389" s="14" t="s">
        <v>88</v>
      </c>
    </row>
    <row r="390" spans="1:16" x14ac:dyDescent="0.35">
      <c r="A390" s="14" t="s">
        <v>520</v>
      </c>
      <c r="B390" s="15">
        <v>41977</v>
      </c>
      <c r="C390" s="14" t="s">
        <v>53</v>
      </c>
      <c r="D390" s="14" t="s">
        <v>64</v>
      </c>
      <c r="E390" s="14" t="s">
        <v>98</v>
      </c>
      <c r="F390" s="14" t="s">
        <v>125</v>
      </c>
      <c r="G390" s="14" t="s">
        <v>56</v>
      </c>
      <c r="H390" s="14">
        <v>1</v>
      </c>
      <c r="I390" s="16">
        <v>212.33</v>
      </c>
      <c r="J390" s="16">
        <v>70</v>
      </c>
      <c r="K390" s="16">
        <v>212.33</v>
      </c>
      <c r="L390" s="16">
        <v>142.33000000000001</v>
      </c>
      <c r="M390" s="14">
        <v>2014</v>
      </c>
      <c r="N390" s="14">
        <v>12</v>
      </c>
      <c r="O390" s="14" t="s">
        <v>81</v>
      </c>
      <c r="P390" s="14" t="s">
        <v>88</v>
      </c>
    </row>
    <row r="391" spans="1:16" x14ac:dyDescent="0.35">
      <c r="A391" s="14" t="s">
        <v>521</v>
      </c>
      <c r="B391" s="15">
        <v>41978</v>
      </c>
      <c r="C391" s="14" t="s">
        <v>53</v>
      </c>
      <c r="D391" s="14" t="s">
        <v>64</v>
      </c>
      <c r="E391" s="14" t="s">
        <v>98</v>
      </c>
      <c r="F391" s="14" t="s">
        <v>125</v>
      </c>
      <c r="G391" s="14" t="s">
        <v>56</v>
      </c>
      <c r="H391" s="14">
        <v>1</v>
      </c>
      <c r="I391" s="16">
        <v>220.75</v>
      </c>
      <c r="J391" s="16">
        <v>70</v>
      </c>
      <c r="K391" s="16">
        <v>220.75</v>
      </c>
      <c r="L391" s="16">
        <v>150.75</v>
      </c>
      <c r="M391" s="14">
        <v>2014</v>
      </c>
      <c r="N391" s="14">
        <v>12</v>
      </c>
      <c r="O391" s="14" t="s">
        <v>81</v>
      </c>
      <c r="P391" s="14" t="s">
        <v>88</v>
      </c>
    </row>
    <row r="392" spans="1:16" x14ac:dyDescent="0.35">
      <c r="A392" s="14" t="s">
        <v>522</v>
      </c>
      <c r="B392" s="15">
        <v>41979</v>
      </c>
      <c r="C392" s="14" t="s">
        <v>55</v>
      </c>
      <c r="D392" s="14" t="s">
        <v>66</v>
      </c>
      <c r="E392" s="14" t="s">
        <v>91</v>
      </c>
      <c r="F392" s="14" t="s">
        <v>142</v>
      </c>
      <c r="G392" s="14" t="s">
        <v>58</v>
      </c>
      <c r="H392" s="14">
        <v>1</v>
      </c>
      <c r="I392" s="16">
        <v>16.37</v>
      </c>
      <c r="J392" s="16">
        <v>4</v>
      </c>
      <c r="K392" s="16">
        <v>16.37</v>
      </c>
      <c r="L392" s="16">
        <v>12.37</v>
      </c>
      <c r="M392" s="14">
        <v>2014</v>
      </c>
      <c r="N392" s="14">
        <v>12</v>
      </c>
      <c r="O392" s="14" t="s">
        <v>81</v>
      </c>
      <c r="P392" s="14" t="s">
        <v>88</v>
      </c>
    </row>
    <row r="393" spans="1:16" x14ac:dyDescent="0.35">
      <c r="A393" s="14" t="s">
        <v>523</v>
      </c>
      <c r="B393" s="15">
        <v>41979</v>
      </c>
      <c r="C393" s="14" t="s">
        <v>57</v>
      </c>
      <c r="D393" s="14" t="s">
        <v>66</v>
      </c>
      <c r="E393" s="14" t="s">
        <v>100</v>
      </c>
      <c r="F393" s="14" t="s">
        <v>137</v>
      </c>
      <c r="G393" s="14" t="s">
        <v>54</v>
      </c>
      <c r="H393" s="14">
        <v>2</v>
      </c>
      <c r="I393" s="16">
        <v>455.07</v>
      </c>
      <c r="J393" s="16">
        <v>180</v>
      </c>
      <c r="K393" s="16">
        <v>910.14</v>
      </c>
      <c r="L393" s="16">
        <v>550.14</v>
      </c>
      <c r="M393" s="14">
        <v>2014</v>
      </c>
      <c r="N393" s="14">
        <v>12</v>
      </c>
      <c r="O393" s="14" t="s">
        <v>81</v>
      </c>
      <c r="P393" s="14" t="s">
        <v>88</v>
      </c>
    </row>
    <row r="394" spans="1:16" x14ac:dyDescent="0.35">
      <c r="A394" s="14" t="s">
        <v>524</v>
      </c>
      <c r="B394" s="15">
        <v>41979</v>
      </c>
      <c r="C394" s="14" t="s">
        <v>59</v>
      </c>
      <c r="D394" s="14" t="s">
        <v>61</v>
      </c>
      <c r="E394" s="14" t="s">
        <v>89</v>
      </c>
      <c r="F394" s="14" t="s">
        <v>115</v>
      </c>
      <c r="G394" s="14" t="s">
        <v>56</v>
      </c>
      <c r="H394" s="14">
        <v>2</v>
      </c>
      <c r="I394" s="16">
        <v>611.62</v>
      </c>
      <c r="J394" s="16">
        <v>220</v>
      </c>
      <c r="K394" s="16">
        <v>1223.24</v>
      </c>
      <c r="L394" s="16">
        <v>783.24</v>
      </c>
      <c r="M394" s="14">
        <v>2014</v>
      </c>
      <c r="N394" s="14">
        <v>12</v>
      </c>
      <c r="O394" s="14" t="s">
        <v>81</v>
      </c>
      <c r="P394" s="14" t="s">
        <v>90</v>
      </c>
    </row>
    <row r="395" spans="1:16" x14ac:dyDescent="0.35">
      <c r="A395" s="14" t="s">
        <v>525</v>
      </c>
      <c r="B395" s="15">
        <v>41983</v>
      </c>
      <c r="C395" s="14" t="s">
        <v>57</v>
      </c>
      <c r="D395" s="14" t="s">
        <v>66</v>
      </c>
      <c r="E395" s="14" t="s">
        <v>131</v>
      </c>
      <c r="F395" s="14" t="s">
        <v>115</v>
      </c>
      <c r="G395" s="14" t="s">
        <v>56</v>
      </c>
      <c r="H395" s="14">
        <v>3</v>
      </c>
      <c r="I395" s="16">
        <v>628.97</v>
      </c>
      <c r="J395" s="16">
        <v>220</v>
      </c>
      <c r="K395" s="16">
        <v>1886.91</v>
      </c>
      <c r="L395" s="16">
        <v>1226.9100000000001</v>
      </c>
      <c r="M395" s="14">
        <v>2014</v>
      </c>
      <c r="N395" s="14">
        <v>12</v>
      </c>
      <c r="O395" s="14" t="s">
        <v>81</v>
      </c>
      <c r="P395" s="14" t="s">
        <v>90</v>
      </c>
    </row>
    <row r="396" spans="1:16" x14ac:dyDescent="0.35">
      <c r="A396" s="14" t="s">
        <v>526</v>
      </c>
      <c r="B396" s="15">
        <v>41983</v>
      </c>
      <c r="C396" s="14" t="s">
        <v>57</v>
      </c>
      <c r="D396" s="14" t="s">
        <v>62</v>
      </c>
      <c r="E396" s="14" t="s">
        <v>131</v>
      </c>
      <c r="F396" s="14" t="s">
        <v>123</v>
      </c>
      <c r="G396" s="14" t="s">
        <v>54</v>
      </c>
      <c r="H396" s="14">
        <v>3</v>
      </c>
      <c r="I396" s="16">
        <v>89.88</v>
      </c>
      <c r="J396" s="16">
        <v>28</v>
      </c>
      <c r="K396" s="16">
        <v>269.64</v>
      </c>
      <c r="L396" s="16">
        <v>185.64</v>
      </c>
      <c r="M396" s="14">
        <v>2014</v>
      </c>
      <c r="N396" s="14">
        <v>12</v>
      </c>
      <c r="O396" s="14" t="s">
        <v>81</v>
      </c>
      <c r="P396" s="14" t="s">
        <v>88</v>
      </c>
    </row>
    <row r="397" spans="1:16" x14ac:dyDescent="0.35">
      <c r="A397" s="14" t="s">
        <v>527</v>
      </c>
      <c r="B397" s="15">
        <v>41983</v>
      </c>
      <c r="C397" s="14" t="s">
        <v>53</v>
      </c>
      <c r="D397" s="14" t="s">
        <v>67</v>
      </c>
      <c r="E397" s="14" t="s">
        <v>153</v>
      </c>
      <c r="F397" s="14" t="s">
        <v>125</v>
      </c>
      <c r="G397" s="14" t="s">
        <v>56</v>
      </c>
      <c r="H397" s="14">
        <v>2</v>
      </c>
      <c r="I397" s="16">
        <v>215.72</v>
      </c>
      <c r="J397" s="16">
        <v>70</v>
      </c>
      <c r="K397" s="16">
        <v>431.44</v>
      </c>
      <c r="L397" s="16">
        <v>291.44</v>
      </c>
      <c r="M397" s="14">
        <v>2014</v>
      </c>
      <c r="N397" s="14">
        <v>12</v>
      </c>
      <c r="O397" s="14" t="s">
        <v>81</v>
      </c>
      <c r="P397" s="14" t="s">
        <v>88</v>
      </c>
    </row>
    <row r="398" spans="1:16" x14ac:dyDescent="0.35">
      <c r="A398" s="14" t="s">
        <v>528</v>
      </c>
      <c r="B398" s="15">
        <v>41984</v>
      </c>
      <c r="C398" s="14" t="s">
        <v>59</v>
      </c>
      <c r="D398" s="14" t="s">
        <v>61</v>
      </c>
      <c r="E398" s="14" t="s">
        <v>91</v>
      </c>
      <c r="F398" s="14" t="s">
        <v>115</v>
      </c>
      <c r="G398" s="14" t="s">
        <v>56</v>
      </c>
      <c r="H398" s="14">
        <v>2</v>
      </c>
      <c r="I398" s="16">
        <v>617.92999999999995</v>
      </c>
      <c r="J398" s="16">
        <v>220</v>
      </c>
      <c r="K398" s="16">
        <v>1235.8599999999999</v>
      </c>
      <c r="L398" s="16">
        <v>795.86</v>
      </c>
      <c r="M398" s="14">
        <v>2014</v>
      </c>
      <c r="N398" s="14">
        <v>12</v>
      </c>
      <c r="O398" s="14" t="s">
        <v>81</v>
      </c>
      <c r="P398" s="14" t="s">
        <v>90</v>
      </c>
    </row>
    <row r="399" spans="1:16" x14ac:dyDescent="0.35">
      <c r="A399" s="14" t="s">
        <v>529</v>
      </c>
      <c r="B399" s="15">
        <v>41985</v>
      </c>
      <c r="C399" s="14" t="s">
        <v>59</v>
      </c>
      <c r="D399" s="14" t="s">
        <v>68</v>
      </c>
      <c r="E399" s="14" t="s">
        <v>153</v>
      </c>
      <c r="F399" s="14" t="s">
        <v>115</v>
      </c>
      <c r="G399" s="14" t="s">
        <v>56</v>
      </c>
      <c r="H399" s="14">
        <v>1</v>
      </c>
      <c r="I399" s="16">
        <v>581.67999999999995</v>
      </c>
      <c r="J399" s="16">
        <v>220</v>
      </c>
      <c r="K399" s="16">
        <v>581.67999999999995</v>
      </c>
      <c r="L399" s="16">
        <v>361.68</v>
      </c>
      <c r="M399" s="14">
        <v>2014</v>
      </c>
      <c r="N399" s="14">
        <v>12</v>
      </c>
      <c r="O399" s="14" t="s">
        <v>81</v>
      </c>
      <c r="P399" s="14" t="s">
        <v>88</v>
      </c>
    </row>
    <row r="400" spans="1:16" x14ac:dyDescent="0.35">
      <c r="A400" s="14" t="s">
        <v>530</v>
      </c>
      <c r="B400" s="15">
        <v>41987</v>
      </c>
      <c r="C400" s="14" t="s">
        <v>55</v>
      </c>
      <c r="D400" s="14" t="s">
        <v>65</v>
      </c>
      <c r="E400" s="14" t="s">
        <v>91</v>
      </c>
      <c r="F400" s="14" t="s">
        <v>137</v>
      </c>
      <c r="G400" s="14" t="s">
        <v>54</v>
      </c>
      <c r="H400" s="14">
        <v>2</v>
      </c>
      <c r="I400" s="16">
        <v>452.51</v>
      </c>
      <c r="J400" s="16">
        <v>180</v>
      </c>
      <c r="K400" s="16">
        <v>905.02</v>
      </c>
      <c r="L400" s="16">
        <v>545.02</v>
      </c>
      <c r="M400" s="14">
        <v>2014</v>
      </c>
      <c r="N400" s="14">
        <v>12</v>
      </c>
      <c r="O400" s="14" t="s">
        <v>81</v>
      </c>
      <c r="P400" s="14" t="s">
        <v>88</v>
      </c>
    </row>
    <row r="401" spans="1:16" x14ac:dyDescent="0.35">
      <c r="A401" s="14" t="s">
        <v>531</v>
      </c>
      <c r="B401" s="15">
        <v>41988</v>
      </c>
      <c r="C401" s="14" t="s">
        <v>55</v>
      </c>
      <c r="D401" s="14" t="s">
        <v>61</v>
      </c>
      <c r="E401" s="14" t="s">
        <v>87</v>
      </c>
      <c r="F401" s="14" t="s">
        <v>128</v>
      </c>
      <c r="G401" s="14" t="s">
        <v>54</v>
      </c>
      <c r="H401" s="14">
        <v>2</v>
      </c>
      <c r="I401" s="16">
        <v>116.54</v>
      </c>
      <c r="J401" s="16">
        <v>40</v>
      </c>
      <c r="K401" s="16">
        <v>233.08</v>
      </c>
      <c r="L401" s="16">
        <v>153.08000000000001</v>
      </c>
      <c r="M401" s="14">
        <v>2014</v>
      </c>
      <c r="N401" s="14">
        <v>12</v>
      </c>
      <c r="O401" s="14" t="s">
        <v>81</v>
      </c>
      <c r="P401" s="14" t="s">
        <v>88</v>
      </c>
    </row>
    <row r="402" spans="1:16" x14ac:dyDescent="0.35">
      <c r="A402" s="14" t="s">
        <v>532</v>
      </c>
      <c r="B402" s="15">
        <v>41989</v>
      </c>
      <c r="C402" s="14" t="s">
        <v>55</v>
      </c>
      <c r="D402" s="14" t="s">
        <v>65</v>
      </c>
      <c r="E402" s="14" t="s">
        <v>146</v>
      </c>
      <c r="F402" s="14" t="s">
        <v>125</v>
      </c>
      <c r="G402" s="14" t="s">
        <v>56</v>
      </c>
      <c r="H402" s="14">
        <v>4</v>
      </c>
      <c r="I402" s="16">
        <v>212.64</v>
      </c>
      <c r="J402" s="16">
        <v>70</v>
      </c>
      <c r="K402" s="16">
        <v>850.56</v>
      </c>
      <c r="L402" s="16">
        <v>570.55999999999995</v>
      </c>
      <c r="M402" s="14">
        <v>2014</v>
      </c>
      <c r="N402" s="14">
        <v>12</v>
      </c>
      <c r="O402" s="14" t="s">
        <v>81</v>
      </c>
      <c r="P402" s="14" t="s">
        <v>88</v>
      </c>
    </row>
    <row r="403" spans="1:16" x14ac:dyDescent="0.35">
      <c r="A403" s="14" t="s">
        <v>533</v>
      </c>
      <c r="B403" s="15">
        <v>41990</v>
      </c>
      <c r="C403" s="14" t="s">
        <v>57</v>
      </c>
      <c r="D403" s="14" t="s">
        <v>62</v>
      </c>
      <c r="E403" s="14" t="s">
        <v>98</v>
      </c>
      <c r="F403" s="14" t="s">
        <v>140</v>
      </c>
      <c r="G403" s="14" t="s">
        <v>56</v>
      </c>
      <c r="H403" s="14">
        <v>1</v>
      </c>
      <c r="I403" s="16">
        <v>253.32</v>
      </c>
      <c r="J403" s="16">
        <v>95</v>
      </c>
      <c r="K403" s="16">
        <v>253.32</v>
      </c>
      <c r="L403" s="16">
        <v>158.32</v>
      </c>
      <c r="M403" s="14">
        <v>2014</v>
      </c>
      <c r="N403" s="14">
        <v>12</v>
      </c>
      <c r="O403" s="14" t="s">
        <v>81</v>
      </c>
      <c r="P403" s="14" t="s">
        <v>88</v>
      </c>
    </row>
    <row r="404" spans="1:16" x14ac:dyDescent="0.35">
      <c r="A404" s="14" t="s">
        <v>534</v>
      </c>
      <c r="B404" s="15">
        <v>41990</v>
      </c>
      <c r="C404" s="14" t="s">
        <v>59</v>
      </c>
      <c r="D404" s="14" t="s">
        <v>68</v>
      </c>
      <c r="E404" s="14" t="s">
        <v>144</v>
      </c>
      <c r="F404" s="14" t="s">
        <v>142</v>
      </c>
      <c r="G404" s="14" t="s">
        <v>58</v>
      </c>
      <c r="H404" s="14">
        <v>1</v>
      </c>
      <c r="I404" s="16">
        <v>16.28</v>
      </c>
      <c r="J404" s="16">
        <v>4</v>
      </c>
      <c r="K404" s="16">
        <v>16.28</v>
      </c>
      <c r="L404" s="16">
        <v>12.28</v>
      </c>
      <c r="M404" s="14">
        <v>2014</v>
      </c>
      <c r="N404" s="14">
        <v>12</v>
      </c>
      <c r="O404" s="14" t="s">
        <v>81</v>
      </c>
      <c r="P404" s="14" t="s">
        <v>88</v>
      </c>
    </row>
    <row r="405" spans="1:16" x14ac:dyDescent="0.35">
      <c r="A405" s="14" t="s">
        <v>535</v>
      </c>
      <c r="B405" s="15">
        <v>41990</v>
      </c>
      <c r="C405" s="14" t="s">
        <v>59</v>
      </c>
      <c r="D405" s="14" t="s">
        <v>61</v>
      </c>
      <c r="E405" s="14" t="s">
        <v>134</v>
      </c>
      <c r="F405" s="14" t="s">
        <v>118</v>
      </c>
      <c r="G405" s="14" t="s">
        <v>54</v>
      </c>
      <c r="H405" s="14">
        <v>4</v>
      </c>
      <c r="I405" s="16">
        <v>38.92</v>
      </c>
      <c r="J405" s="16">
        <v>12</v>
      </c>
      <c r="K405" s="16">
        <v>155.68</v>
      </c>
      <c r="L405" s="16">
        <v>107.68</v>
      </c>
      <c r="M405" s="14">
        <v>2014</v>
      </c>
      <c r="N405" s="14">
        <v>12</v>
      </c>
      <c r="O405" s="14" t="s">
        <v>81</v>
      </c>
      <c r="P405" s="14" t="s">
        <v>88</v>
      </c>
    </row>
    <row r="406" spans="1:16" x14ac:dyDescent="0.35">
      <c r="A406" s="14" t="s">
        <v>536</v>
      </c>
      <c r="B406" s="15">
        <v>41990</v>
      </c>
      <c r="C406" s="14" t="s">
        <v>57</v>
      </c>
      <c r="D406" s="14" t="s">
        <v>66</v>
      </c>
      <c r="E406" s="14" t="s">
        <v>89</v>
      </c>
      <c r="F406" s="14" t="s">
        <v>140</v>
      </c>
      <c r="G406" s="14" t="s">
        <v>56</v>
      </c>
      <c r="H406" s="14">
        <v>3</v>
      </c>
      <c r="I406" s="16">
        <v>247.57</v>
      </c>
      <c r="J406" s="16">
        <v>95</v>
      </c>
      <c r="K406" s="16">
        <v>742.71</v>
      </c>
      <c r="L406" s="16">
        <v>457.71</v>
      </c>
      <c r="M406" s="14">
        <v>2014</v>
      </c>
      <c r="N406" s="14">
        <v>12</v>
      </c>
      <c r="O406" s="14" t="s">
        <v>81</v>
      </c>
      <c r="P406" s="14" t="s">
        <v>88</v>
      </c>
    </row>
    <row r="407" spans="1:16" x14ac:dyDescent="0.35">
      <c r="A407" s="14" t="s">
        <v>537</v>
      </c>
      <c r="B407" s="15">
        <v>41990</v>
      </c>
      <c r="C407" s="14" t="s">
        <v>59</v>
      </c>
      <c r="D407" s="14" t="s">
        <v>68</v>
      </c>
      <c r="E407" s="14" t="s">
        <v>117</v>
      </c>
      <c r="F407" s="14" t="s">
        <v>125</v>
      </c>
      <c r="G407" s="14" t="s">
        <v>56</v>
      </c>
      <c r="H407" s="14">
        <v>3</v>
      </c>
      <c r="I407" s="16">
        <v>222.78</v>
      </c>
      <c r="J407" s="16">
        <v>70</v>
      </c>
      <c r="K407" s="16">
        <v>668.34</v>
      </c>
      <c r="L407" s="16">
        <v>458.34</v>
      </c>
      <c r="M407" s="14">
        <v>2014</v>
      </c>
      <c r="N407" s="14">
        <v>12</v>
      </c>
      <c r="O407" s="14" t="s">
        <v>81</v>
      </c>
      <c r="P407" s="14" t="s">
        <v>88</v>
      </c>
    </row>
    <row r="408" spans="1:16" x14ac:dyDescent="0.35">
      <c r="A408" s="14" t="s">
        <v>538</v>
      </c>
      <c r="B408" s="15">
        <v>41991</v>
      </c>
      <c r="C408" s="14" t="s">
        <v>57</v>
      </c>
      <c r="D408" s="14" t="s">
        <v>66</v>
      </c>
      <c r="E408" s="14" t="s">
        <v>91</v>
      </c>
      <c r="F408" s="14" t="s">
        <v>137</v>
      </c>
      <c r="G408" s="14" t="s">
        <v>54</v>
      </c>
      <c r="H408" s="14">
        <v>1</v>
      </c>
      <c r="I408" s="16">
        <v>434.2</v>
      </c>
      <c r="J408" s="16">
        <v>180</v>
      </c>
      <c r="K408" s="16">
        <v>434.2</v>
      </c>
      <c r="L408" s="16">
        <v>254.2</v>
      </c>
      <c r="M408" s="14">
        <v>2014</v>
      </c>
      <c r="N408" s="14">
        <v>12</v>
      </c>
      <c r="O408" s="14" t="s">
        <v>81</v>
      </c>
      <c r="P408" s="14" t="s">
        <v>88</v>
      </c>
    </row>
    <row r="409" spans="1:16" x14ac:dyDescent="0.35">
      <c r="A409" s="14" t="s">
        <v>539</v>
      </c>
      <c r="B409" s="15">
        <v>41991</v>
      </c>
      <c r="C409" s="14" t="s">
        <v>55</v>
      </c>
      <c r="D409" s="14" t="s">
        <v>63</v>
      </c>
      <c r="E409" s="14" t="s">
        <v>164</v>
      </c>
      <c r="F409" s="14" t="s">
        <v>118</v>
      </c>
      <c r="G409" s="14" t="s">
        <v>54</v>
      </c>
      <c r="H409" s="14">
        <v>1</v>
      </c>
      <c r="I409" s="16">
        <v>37.67</v>
      </c>
      <c r="J409" s="16">
        <v>12</v>
      </c>
      <c r="K409" s="16">
        <v>37.67</v>
      </c>
      <c r="L409" s="16">
        <v>25.67</v>
      </c>
      <c r="M409" s="14">
        <v>2014</v>
      </c>
      <c r="N409" s="14">
        <v>12</v>
      </c>
      <c r="O409" s="14" t="s">
        <v>81</v>
      </c>
      <c r="P409" s="14" t="s">
        <v>88</v>
      </c>
    </row>
    <row r="410" spans="1:16" x14ac:dyDescent="0.35">
      <c r="A410" s="14" t="s">
        <v>540</v>
      </c>
      <c r="B410" s="15">
        <v>41991</v>
      </c>
      <c r="C410" s="14" t="s">
        <v>55</v>
      </c>
      <c r="D410" s="14" t="s">
        <v>65</v>
      </c>
      <c r="E410" s="14" t="s">
        <v>164</v>
      </c>
      <c r="F410" s="14" t="s">
        <v>140</v>
      </c>
      <c r="G410" s="14" t="s">
        <v>56</v>
      </c>
      <c r="H410" s="14">
        <v>1</v>
      </c>
      <c r="I410" s="16">
        <v>250.52</v>
      </c>
      <c r="J410" s="16">
        <v>95</v>
      </c>
      <c r="K410" s="16">
        <v>250.52</v>
      </c>
      <c r="L410" s="16">
        <v>155.52000000000001</v>
      </c>
      <c r="M410" s="14">
        <v>2014</v>
      </c>
      <c r="N410" s="14">
        <v>12</v>
      </c>
      <c r="O410" s="14" t="s">
        <v>81</v>
      </c>
      <c r="P410" s="14" t="s">
        <v>88</v>
      </c>
    </row>
    <row r="411" spans="1:16" x14ac:dyDescent="0.35">
      <c r="A411" s="14" t="s">
        <v>541</v>
      </c>
      <c r="B411" s="15">
        <v>41991</v>
      </c>
      <c r="C411" s="14" t="s">
        <v>55</v>
      </c>
      <c r="D411" s="14" t="s">
        <v>63</v>
      </c>
      <c r="E411" s="14" t="s">
        <v>117</v>
      </c>
      <c r="F411" s="14" t="s">
        <v>128</v>
      </c>
      <c r="G411" s="14" t="s">
        <v>54</v>
      </c>
      <c r="H411" s="14">
        <v>1</v>
      </c>
      <c r="I411" s="16">
        <v>118.89</v>
      </c>
      <c r="J411" s="16">
        <v>40</v>
      </c>
      <c r="K411" s="16">
        <v>118.89</v>
      </c>
      <c r="L411" s="16">
        <v>78.89</v>
      </c>
      <c r="M411" s="14">
        <v>2014</v>
      </c>
      <c r="N411" s="14">
        <v>12</v>
      </c>
      <c r="O411" s="14" t="s">
        <v>81</v>
      </c>
      <c r="P411" s="14" t="s">
        <v>88</v>
      </c>
    </row>
    <row r="412" spans="1:16" x14ac:dyDescent="0.35">
      <c r="A412" s="14" t="s">
        <v>542</v>
      </c>
      <c r="B412" s="15">
        <v>41993</v>
      </c>
      <c r="C412" s="14" t="s">
        <v>55</v>
      </c>
      <c r="D412" s="14" t="s">
        <v>65</v>
      </c>
      <c r="E412" s="14" t="s">
        <v>87</v>
      </c>
      <c r="F412" s="14" t="s">
        <v>137</v>
      </c>
      <c r="G412" s="14" t="s">
        <v>54</v>
      </c>
      <c r="H412" s="14">
        <v>2</v>
      </c>
      <c r="I412" s="16">
        <v>444.93</v>
      </c>
      <c r="J412" s="16">
        <v>180</v>
      </c>
      <c r="K412" s="16">
        <v>889.86</v>
      </c>
      <c r="L412" s="16">
        <v>529.86</v>
      </c>
      <c r="M412" s="14">
        <v>2014</v>
      </c>
      <c r="N412" s="14">
        <v>12</v>
      </c>
      <c r="O412" s="14" t="s">
        <v>81</v>
      </c>
      <c r="P412" s="14" t="s">
        <v>88</v>
      </c>
    </row>
    <row r="413" spans="1:16" x14ac:dyDescent="0.35">
      <c r="A413" s="14" t="s">
        <v>543</v>
      </c>
      <c r="B413" s="15">
        <v>41993</v>
      </c>
      <c r="C413" s="14" t="s">
        <v>53</v>
      </c>
      <c r="D413" s="14" t="s">
        <v>64</v>
      </c>
      <c r="E413" s="14" t="s">
        <v>100</v>
      </c>
      <c r="F413" s="14" t="s">
        <v>140</v>
      </c>
      <c r="G413" s="14" t="s">
        <v>56</v>
      </c>
      <c r="H413" s="14">
        <v>1</v>
      </c>
      <c r="I413" s="16">
        <v>253.94</v>
      </c>
      <c r="J413" s="16">
        <v>95</v>
      </c>
      <c r="K413" s="16">
        <v>253.94</v>
      </c>
      <c r="L413" s="16">
        <v>158.94</v>
      </c>
      <c r="M413" s="14">
        <v>2014</v>
      </c>
      <c r="N413" s="14">
        <v>12</v>
      </c>
      <c r="O413" s="14" t="s">
        <v>81</v>
      </c>
      <c r="P413" s="14" t="s">
        <v>88</v>
      </c>
    </row>
    <row r="414" spans="1:16" x14ac:dyDescent="0.35">
      <c r="A414" s="14" t="s">
        <v>544</v>
      </c>
      <c r="B414" s="15">
        <v>41996</v>
      </c>
      <c r="C414" s="14" t="s">
        <v>57</v>
      </c>
      <c r="D414" s="14" t="s">
        <v>62</v>
      </c>
      <c r="E414" s="14" t="s">
        <v>117</v>
      </c>
      <c r="F414" s="14" t="s">
        <v>115</v>
      </c>
      <c r="G414" s="14" t="s">
        <v>56</v>
      </c>
      <c r="H414" s="14">
        <v>1</v>
      </c>
      <c r="I414" s="16">
        <v>620.91999999999996</v>
      </c>
      <c r="J414" s="16">
        <v>220</v>
      </c>
      <c r="K414" s="16">
        <v>620.91999999999996</v>
      </c>
      <c r="L414" s="16">
        <v>400.92</v>
      </c>
      <c r="M414" s="14">
        <v>2014</v>
      </c>
      <c r="N414" s="14">
        <v>12</v>
      </c>
      <c r="O414" s="14" t="s">
        <v>81</v>
      </c>
      <c r="P414" s="14" t="s">
        <v>88</v>
      </c>
    </row>
    <row r="415" spans="1:16" x14ac:dyDescent="0.35">
      <c r="A415" s="14" t="s">
        <v>545</v>
      </c>
      <c r="B415" s="15">
        <v>41997</v>
      </c>
      <c r="C415" s="14" t="s">
        <v>55</v>
      </c>
      <c r="D415" s="14" t="s">
        <v>63</v>
      </c>
      <c r="E415" s="14" t="s">
        <v>139</v>
      </c>
      <c r="F415" s="14" t="s">
        <v>115</v>
      </c>
      <c r="G415" s="14" t="s">
        <v>56</v>
      </c>
      <c r="H415" s="14">
        <v>1</v>
      </c>
      <c r="I415" s="16">
        <v>576.66999999999996</v>
      </c>
      <c r="J415" s="16">
        <v>220</v>
      </c>
      <c r="K415" s="16">
        <v>576.66999999999996</v>
      </c>
      <c r="L415" s="16">
        <v>356.67</v>
      </c>
      <c r="M415" s="14">
        <v>2014</v>
      </c>
      <c r="N415" s="14">
        <v>12</v>
      </c>
      <c r="O415" s="14" t="s">
        <v>81</v>
      </c>
      <c r="P415" s="14" t="s">
        <v>88</v>
      </c>
    </row>
    <row r="416" spans="1:16" x14ac:dyDescent="0.35">
      <c r="A416" s="14" t="s">
        <v>546</v>
      </c>
      <c r="B416" s="15">
        <v>41997</v>
      </c>
      <c r="C416" s="14" t="s">
        <v>55</v>
      </c>
      <c r="D416" s="14" t="s">
        <v>65</v>
      </c>
      <c r="E416" s="14" t="s">
        <v>117</v>
      </c>
      <c r="F416" s="14" t="s">
        <v>132</v>
      </c>
      <c r="G416" s="14" t="s">
        <v>56</v>
      </c>
      <c r="H416" s="14">
        <v>1</v>
      </c>
      <c r="I416" s="16">
        <v>53.94</v>
      </c>
      <c r="J416" s="16">
        <v>15</v>
      </c>
      <c r="K416" s="16">
        <v>53.94</v>
      </c>
      <c r="L416" s="16">
        <v>38.94</v>
      </c>
      <c r="M416" s="14">
        <v>2014</v>
      </c>
      <c r="N416" s="14">
        <v>12</v>
      </c>
      <c r="O416" s="14" t="s">
        <v>81</v>
      </c>
      <c r="P416" s="14" t="s">
        <v>88</v>
      </c>
    </row>
    <row r="417" spans="1:16" x14ac:dyDescent="0.35">
      <c r="A417" s="14" t="s">
        <v>547</v>
      </c>
      <c r="B417" s="15">
        <v>41999</v>
      </c>
      <c r="C417" s="14" t="s">
        <v>57</v>
      </c>
      <c r="D417" s="14" t="s">
        <v>62</v>
      </c>
      <c r="E417" s="14" t="s">
        <v>150</v>
      </c>
      <c r="F417" s="14" t="s">
        <v>125</v>
      </c>
      <c r="G417" s="14" t="s">
        <v>56</v>
      </c>
      <c r="H417" s="14">
        <v>3</v>
      </c>
      <c r="I417" s="16">
        <v>207.42</v>
      </c>
      <c r="J417" s="16">
        <v>70</v>
      </c>
      <c r="K417" s="16">
        <v>622.26</v>
      </c>
      <c r="L417" s="16">
        <v>412.26</v>
      </c>
      <c r="M417" s="14">
        <v>2014</v>
      </c>
      <c r="N417" s="14">
        <v>12</v>
      </c>
      <c r="O417" s="14" t="s">
        <v>81</v>
      </c>
      <c r="P417" s="14" t="s">
        <v>88</v>
      </c>
    </row>
    <row r="418" spans="1:16" x14ac:dyDescent="0.35">
      <c r="A418" s="14" t="s">
        <v>548</v>
      </c>
      <c r="B418" s="15">
        <v>42000</v>
      </c>
      <c r="C418" s="14" t="s">
        <v>53</v>
      </c>
      <c r="D418" s="14" t="s">
        <v>64</v>
      </c>
      <c r="E418" s="14" t="s">
        <v>91</v>
      </c>
      <c r="F418" s="14" t="s">
        <v>142</v>
      </c>
      <c r="G418" s="14" t="s">
        <v>58</v>
      </c>
      <c r="H418" s="14">
        <v>1</v>
      </c>
      <c r="I418" s="16">
        <v>16.399999999999999</v>
      </c>
      <c r="J418" s="16">
        <v>4</v>
      </c>
      <c r="K418" s="16">
        <v>16.399999999999999</v>
      </c>
      <c r="L418" s="16">
        <v>12.4</v>
      </c>
      <c r="M418" s="14">
        <v>2014</v>
      </c>
      <c r="N418" s="14">
        <v>12</v>
      </c>
      <c r="O418" s="14" t="s">
        <v>81</v>
      </c>
      <c r="P418" s="14" t="s">
        <v>88</v>
      </c>
    </row>
    <row r="419" spans="1:16" x14ac:dyDescent="0.35">
      <c r="A419" s="14" t="s">
        <v>549</v>
      </c>
      <c r="B419" s="15">
        <v>42000</v>
      </c>
      <c r="C419" s="14" t="s">
        <v>53</v>
      </c>
      <c r="D419" s="14" t="s">
        <v>64</v>
      </c>
      <c r="E419" s="14" t="s">
        <v>144</v>
      </c>
      <c r="F419" s="14" t="s">
        <v>125</v>
      </c>
      <c r="G419" s="14" t="s">
        <v>56</v>
      </c>
      <c r="H419" s="14">
        <v>5</v>
      </c>
      <c r="I419" s="16">
        <v>218.5</v>
      </c>
      <c r="J419" s="16">
        <v>70</v>
      </c>
      <c r="K419" s="16">
        <v>1092.5</v>
      </c>
      <c r="L419" s="16">
        <v>742.5</v>
      </c>
      <c r="M419" s="14">
        <v>2014</v>
      </c>
      <c r="N419" s="14">
        <v>12</v>
      </c>
      <c r="O419" s="14" t="s">
        <v>81</v>
      </c>
      <c r="P419" s="14" t="s">
        <v>90</v>
      </c>
    </row>
    <row r="420" spans="1:16" x14ac:dyDescent="0.35">
      <c r="A420" s="14" t="s">
        <v>550</v>
      </c>
      <c r="B420" s="15">
        <v>42003</v>
      </c>
      <c r="C420" s="14" t="s">
        <v>57</v>
      </c>
      <c r="D420" s="14" t="s">
        <v>62</v>
      </c>
      <c r="E420" s="14" t="s">
        <v>144</v>
      </c>
      <c r="F420" s="14" t="s">
        <v>142</v>
      </c>
      <c r="G420" s="14" t="s">
        <v>58</v>
      </c>
      <c r="H420" s="14">
        <v>4</v>
      </c>
      <c r="I420" s="16">
        <v>17.23</v>
      </c>
      <c r="J420" s="16">
        <v>4</v>
      </c>
      <c r="K420" s="16">
        <v>68.92</v>
      </c>
      <c r="L420" s="16">
        <v>52.92</v>
      </c>
      <c r="M420" s="14">
        <v>2014</v>
      </c>
      <c r="N420" s="14">
        <v>12</v>
      </c>
      <c r="O420" s="14" t="s">
        <v>81</v>
      </c>
      <c r="P420" s="14" t="s">
        <v>88</v>
      </c>
    </row>
    <row r="421" spans="1:16" x14ac:dyDescent="0.35">
      <c r="A421" s="14" t="s">
        <v>551</v>
      </c>
      <c r="B421" s="15">
        <v>42004</v>
      </c>
      <c r="C421" s="14" t="s">
        <v>59</v>
      </c>
      <c r="D421" s="14" t="s">
        <v>68</v>
      </c>
      <c r="E421" s="14" t="s">
        <v>87</v>
      </c>
      <c r="F421" s="14" t="s">
        <v>118</v>
      </c>
      <c r="G421" s="14" t="s">
        <v>54</v>
      </c>
      <c r="H421" s="14">
        <v>2</v>
      </c>
      <c r="I421" s="16">
        <v>39.299999999999997</v>
      </c>
      <c r="J421" s="16">
        <v>12</v>
      </c>
      <c r="K421" s="16">
        <v>78.599999999999994</v>
      </c>
      <c r="L421" s="16">
        <v>54.6</v>
      </c>
      <c r="M421" s="14">
        <v>2014</v>
      </c>
      <c r="N421" s="14">
        <v>12</v>
      </c>
      <c r="O421" s="14" t="s">
        <v>81</v>
      </c>
      <c r="P421" s="14" t="s">
        <v>88</v>
      </c>
    </row>
    <row r="422" spans="1:16" x14ac:dyDescent="0.35">
      <c r="A422" s="14" t="s">
        <v>552</v>
      </c>
      <c r="B422" s="15">
        <v>42004</v>
      </c>
      <c r="C422" s="14" t="s">
        <v>57</v>
      </c>
      <c r="D422" s="14" t="s">
        <v>62</v>
      </c>
      <c r="E422" s="14" t="s">
        <v>100</v>
      </c>
      <c r="F422" s="14" t="s">
        <v>137</v>
      </c>
      <c r="G422" s="14" t="s">
        <v>54</v>
      </c>
      <c r="H422" s="14">
        <v>1</v>
      </c>
      <c r="I422" s="16">
        <v>460.11</v>
      </c>
      <c r="J422" s="16">
        <v>180</v>
      </c>
      <c r="K422" s="16">
        <v>460.11</v>
      </c>
      <c r="L422" s="16">
        <v>280.11</v>
      </c>
      <c r="M422" s="14">
        <v>2014</v>
      </c>
      <c r="N422" s="14">
        <v>12</v>
      </c>
      <c r="O422" s="14" t="s">
        <v>81</v>
      </c>
      <c r="P422" s="14" t="s">
        <v>88</v>
      </c>
    </row>
  </sheetData>
  <mergeCells count="1">
    <mergeCell ref="A1:L1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22"/>
  <sheetViews>
    <sheetView workbookViewId="0">
      <pane ySplit="2" topLeftCell="A3" activePane="bottomLeft" state="frozen"/>
      <selection pane="bottomLeft" activeCell="B6" sqref="B6"/>
    </sheetView>
  </sheetViews>
  <sheetFormatPr defaultRowHeight="14.5" x14ac:dyDescent="0.35"/>
  <cols>
    <col min="1" max="3" width="16" customWidth="1"/>
    <col min="4" max="4" width="18" customWidth="1"/>
    <col min="5" max="5" width="16" customWidth="1"/>
    <col min="6" max="6" width="22" customWidth="1"/>
    <col min="7" max="12" width="16" customWidth="1"/>
  </cols>
  <sheetData>
    <row r="1" spans="1:12" ht="15.5" x14ac:dyDescent="0.35">
      <c r="A1" s="17" t="s">
        <v>553</v>
      </c>
    </row>
    <row r="2" spans="1:12" x14ac:dyDescent="0.35">
      <c r="A2" s="18" t="s">
        <v>104</v>
      </c>
      <c r="B2" s="18" t="s">
        <v>105</v>
      </c>
      <c r="C2" s="18" t="s">
        <v>36</v>
      </c>
      <c r="D2" s="18" t="s">
        <v>37</v>
      </c>
      <c r="E2" s="18" t="s">
        <v>83</v>
      </c>
      <c r="F2" s="18" t="s">
        <v>106</v>
      </c>
      <c r="G2" s="18" t="s">
        <v>38</v>
      </c>
      <c r="H2" s="18" t="s">
        <v>107</v>
      </c>
      <c r="I2" s="18" t="s">
        <v>108</v>
      </c>
      <c r="J2" s="18" t="s">
        <v>109</v>
      </c>
      <c r="K2" s="18" t="s">
        <v>51</v>
      </c>
      <c r="L2" s="18" t="s">
        <v>52</v>
      </c>
    </row>
    <row r="3" spans="1:12" x14ac:dyDescent="0.35">
      <c r="A3" s="19" t="s">
        <v>113</v>
      </c>
      <c r="B3" s="20">
        <v>41641</v>
      </c>
      <c r="C3" s="19" t="s">
        <v>53</v>
      </c>
      <c r="D3" s="19" t="s">
        <v>64</v>
      </c>
      <c r="E3" s="19" t="s">
        <v>114</v>
      </c>
      <c r="F3" s="19" t="s">
        <v>115</v>
      </c>
      <c r="G3" s="19" t="s">
        <v>56</v>
      </c>
      <c r="H3" s="19">
        <v>2</v>
      </c>
      <c r="I3" s="21">
        <v>431.33</v>
      </c>
      <c r="J3" s="21">
        <v>220</v>
      </c>
      <c r="K3" s="21">
        <v>862.66</v>
      </c>
      <c r="L3" s="21">
        <v>422.66</v>
      </c>
    </row>
    <row r="4" spans="1:12" x14ac:dyDescent="0.35">
      <c r="A4" s="19" t="s">
        <v>116</v>
      </c>
      <c r="B4" s="20">
        <v>41641</v>
      </c>
      <c r="C4" s="19" t="s">
        <v>59</v>
      </c>
      <c r="D4" s="19" t="s">
        <v>68</v>
      </c>
      <c r="E4" s="19" t="s">
        <v>117</v>
      </c>
      <c r="F4" s="19" t="s">
        <v>118</v>
      </c>
      <c r="G4" s="19" t="s">
        <v>54</v>
      </c>
      <c r="H4" s="19">
        <v>1</v>
      </c>
      <c r="I4" s="21">
        <v>28.05</v>
      </c>
      <c r="J4" s="21">
        <v>12</v>
      </c>
      <c r="K4" s="21">
        <v>28.05</v>
      </c>
      <c r="L4" s="21">
        <v>16.05</v>
      </c>
    </row>
    <row r="5" spans="1:12" x14ac:dyDescent="0.35">
      <c r="A5" s="19" t="s">
        <v>119</v>
      </c>
      <c r="B5" s="20">
        <v>41642</v>
      </c>
      <c r="C5" s="19" t="s">
        <v>57</v>
      </c>
      <c r="D5" s="19" t="s">
        <v>62</v>
      </c>
      <c r="E5" s="19" t="s">
        <v>117</v>
      </c>
      <c r="F5" s="19" t="s">
        <v>115</v>
      </c>
      <c r="G5" s="19" t="s">
        <v>56</v>
      </c>
      <c r="H5" s="19">
        <v>3</v>
      </c>
      <c r="I5" s="21">
        <v>457.8</v>
      </c>
      <c r="J5" s="21">
        <v>220</v>
      </c>
      <c r="K5" s="21">
        <v>1373.4</v>
      </c>
      <c r="L5" s="21">
        <v>713.4</v>
      </c>
    </row>
    <row r="6" spans="1:12" x14ac:dyDescent="0.35">
      <c r="A6" s="19" t="s">
        <v>120</v>
      </c>
      <c r="B6" s="20">
        <v>41642</v>
      </c>
      <c r="C6" s="19" t="s">
        <v>55</v>
      </c>
      <c r="D6" s="19" t="s">
        <v>65</v>
      </c>
      <c r="E6" s="19" t="s">
        <v>114</v>
      </c>
      <c r="F6" s="19" t="s">
        <v>118</v>
      </c>
      <c r="G6" s="19" t="s">
        <v>54</v>
      </c>
      <c r="H6" s="19">
        <v>2</v>
      </c>
      <c r="I6" s="21">
        <v>29.87</v>
      </c>
      <c r="J6" s="21">
        <v>12</v>
      </c>
      <c r="K6" s="21">
        <v>59.74</v>
      </c>
      <c r="L6" s="21">
        <v>35.74</v>
      </c>
    </row>
    <row r="7" spans="1:12" x14ac:dyDescent="0.35">
      <c r="A7" s="19" t="s">
        <v>121</v>
      </c>
      <c r="B7" s="20">
        <v>41643</v>
      </c>
      <c r="C7" s="19" t="s">
        <v>55</v>
      </c>
      <c r="D7" s="19" t="s">
        <v>65</v>
      </c>
      <c r="E7" s="19" t="s">
        <v>117</v>
      </c>
      <c r="F7" s="19" t="s">
        <v>115</v>
      </c>
      <c r="G7" s="19" t="s">
        <v>56</v>
      </c>
      <c r="H7" s="19">
        <v>3</v>
      </c>
      <c r="I7" s="21">
        <v>439.55</v>
      </c>
      <c r="J7" s="21">
        <v>220</v>
      </c>
      <c r="K7" s="21">
        <v>1318.65</v>
      </c>
      <c r="L7" s="21">
        <v>658.65</v>
      </c>
    </row>
    <row r="8" spans="1:12" x14ac:dyDescent="0.35">
      <c r="A8" s="19" t="s">
        <v>122</v>
      </c>
      <c r="B8" s="20">
        <v>41643</v>
      </c>
      <c r="C8" s="19" t="s">
        <v>57</v>
      </c>
      <c r="D8" s="19" t="s">
        <v>66</v>
      </c>
      <c r="E8" s="19" t="s">
        <v>98</v>
      </c>
      <c r="F8" s="19" t="s">
        <v>123</v>
      </c>
      <c r="G8" s="19" t="s">
        <v>54</v>
      </c>
      <c r="H8" s="19">
        <v>1</v>
      </c>
      <c r="I8" s="21">
        <v>70.27</v>
      </c>
      <c r="J8" s="21">
        <v>28</v>
      </c>
      <c r="K8" s="21">
        <v>70.27</v>
      </c>
      <c r="L8" s="21">
        <v>42.27</v>
      </c>
    </row>
    <row r="9" spans="1:12" x14ac:dyDescent="0.35">
      <c r="A9" s="19" t="s">
        <v>124</v>
      </c>
      <c r="B9" s="20">
        <v>41644</v>
      </c>
      <c r="C9" s="19" t="s">
        <v>59</v>
      </c>
      <c r="D9" s="19" t="s">
        <v>63</v>
      </c>
      <c r="E9" s="19" t="s">
        <v>100</v>
      </c>
      <c r="F9" s="19" t="s">
        <v>125</v>
      </c>
      <c r="G9" s="19" t="s">
        <v>56</v>
      </c>
      <c r="H9" s="19">
        <v>3</v>
      </c>
      <c r="I9" s="21">
        <v>157.56</v>
      </c>
      <c r="J9" s="21">
        <v>70</v>
      </c>
      <c r="K9" s="21">
        <v>472.68</v>
      </c>
      <c r="L9" s="21">
        <v>262.68</v>
      </c>
    </row>
    <row r="10" spans="1:12" x14ac:dyDescent="0.35">
      <c r="A10" s="19" t="s">
        <v>126</v>
      </c>
      <c r="B10" s="20">
        <v>41645</v>
      </c>
      <c r="C10" s="19" t="s">
        <v>53</v>
      </c>
      <c r="D10" s="19" t="s">
        <v>61</v>
      </c>
      <c r="E10" s="19" t="s">
        <v>98</v>
      </c>
      <c r="F10" s="19" t="s">
        <v>123</v>
      </c>
      <c r="G10" s="19" t="s">
        <v>54</v>
      </c>
      <c r="H10" s="19">
        <v>1</v>
      </c>
      <c r="I10" s="21">
        <v>69.33</v>
      </c>
      <c r="J10" s="21">
        <v>28</v>
      </c>
      <c r="K10" s="21">
        <v>69.33</v>
      </c>
      <c r="L10" s="21">
        <v>41.33</v>
      </c>
    </row>
    <row r="11" spans="1:12" x14ac:dyDescent="0.35">
      <c r="A11" s="19" t="s">
        <v>127</v>
      </c>
      <c r="B11" s="20">
        <v>41650</v>
      </c>
      <c r="C11" s="19" t="s">
        <v>57</v>
      </c>
      <c r="D11" s="19" t="s">
        <v>66</v>
      </c>
      <c r="E11" s="19" t="s">
        <v>98</v>
      </c>
      <c r="F11" s="19" t="s">
        <v>128</v>
      </c>
      <c r="G11" s="19" t="s">
        <v>54</v>
      </c>
      <c r="H11" s="19">
        <v>3</v>
      </c>
      <c r="I11" s="21">
        <v>92.74</v>
      </c>
      <c r="J11" s="21">
        <v>40</v>
      </c>
      <c r="K11" s="21">
        <v>278.22000000000003</v>
      </c>
      <c r="L11" s="21">
        <v>158.22</v>
      </c>
    </row>
    <row r="12" spans="1:12" x14ac:dyDescent="0.35">
      <c r="A12" s="19" t="s">
        <v>129</v>
      </c>
      <c r="B12" s="20">
        <v>41654</v>
      </c>
      <c r="C12" s="19" t="s">
        <v>57</v>
      </c>
      <c r="D12" s="19" t="s">
        <v>66</v>
      </c>
      <c r="E12" s="19" t="s">
        <v>98</v>
      </c>
      <c r="F12" s="19" t="s">
        <v>115</v>
      </c>
      <c r="G12" s="19" t="s">
        <v>56</v>
      </c>
      <c r="H12" s="19">
        <v>2</v>
      </c>
      <c r="I12" s="21">
        <v>435</v>
      </c>
      <c r="J12" s="21">
        <v>220</v>
      </c>
      <c r="K12" s="21">
        <v>870</v>
      </c>
      <c r="L12" s="21">
        <v>430</v>
      </c>
    </row>
    <row r="13" spans="1:12" x14ac:dyDescent="0.35">
      <c r="A13" s="19" t="s">
        <v>130</v>
      </c>
      <c r="B13" s="20">
        <v>41655</v>
      </c>
      <c r="C13" s="19" t="s">
        <v>53</v>
      </c>
      <c r="D13" s="19" t="s">
        <v>67</v>
      </c>
      <c r="E13" s="19" t="s">
        <v>131</v>
      </c>
      <c r="F13" s="19" t="s">
        <v>132</v>
      </c>
      <c r="G13" s="19" t="s">
        <v>56</v>
      </c>
      <c r="H13" s="19">
        <v>2</v>
      </c>
      <c r="I13" s="21">
        <v>37.47</v>
      </c>
      <c r="J13" s="21">
        <v>15</v>
      </c>
      <c r="K13" s="21">
        <v>74.94</v>
      </c>
      <c r="L13" s="21">
        <v>44.94</v>
      </c>
    </row>
    <row r="14" spans="1:12" x14ac:dyDescent="0.35">
      <c r="A14" s="19" t="s">
        <v>133</v>
      </c>
      <c r="B14" s="20">
        <v>41655</v>
      </c>
      <c r="C14" s="19" t="s">
        <v>53</v>
      </c>
      <c r="D14" s="19" t="s">
        <v>64</v>
      </c>
      <c r="E14" s="19" t="s">
        <v>134</v>
      </c>
      <c r="F14" s="19" t="s">
        <v>128</v>
      </c>
      <c r="G14" s="19" t="s">
        <v>54</v>
      </c>
      <c r="H14" s="19">
        <v>1</v>
      </c>
      <c r="I14" s="21">
        <v>89.47</v>
      </c>
      <c r="J14" s="21">
        <v>40</v>
      </c>
      <c r="K14" s="21">
        <v>89.47</v>
      </c>
      <c r="L14" s="21">
        <v>49.47</v>
      </c>
    </row>
    <row r="15" spans="1:12" x14ac:dyDescent="0.35">
      <c r="A15" s="19" t="s">
        <v>135</v>
      </c>
      <c r="B15" s="20">
        <v>41656</v>
      </c>
      <c r="C15" s="19" t="s">
        <v>55</v>
      </c>
      <c r="D15" s="19" t="s">
        <v>67</v>
      </c>
      <c r="E15" s="19" t="s">
        <v>100</v>
      </c>
      <c r="F15" s="19" t="s">
        <v>123</v>
      </c>
      <c r="G15" s="19" t="s">
        <v>54</v>
      </c>
      <c r="H15" s="19">
        <v>1</v>
      </c>
      <c r="I15" s="21">
        <v>66.92</v>
      </c>
      <c r="J15" s="21">
        <v>28</v>
      </c>
      <c r="K15" s="21">
        <v>66.92</v>
      </c>
      <c r="L15" s="21">
        <v>38.92</v>
      </c>
    </row>
    <row r="16" spans="1:12" x14ac:dyDescent="0.35">
      <c r="A16" s="19" t="s">
        <v>136</v>
      </c>
      <c r="B16" s="20">
        <v>41656</v>
      </c>
      <c r="C16" s="19" t="s">
        <v>57</v>
      </c>
      <c r="D16" s="19" t="s">
        <v>62</v>
      </c>
      <c r="E16" s="19" t="s">
        <v>134</v>
      </c>
      <c r="F16" s="19" t="s">
        <v>137</v>
      </c>
      <c r="G16" s="19" t="s">
        <v>54</v>
      </c>
      <c r="H16" s="19">
        <v>2</v>
      </c>
      <c r="I16" s="21">
        <v>326.14</v>
      </c>
      <c r="J16" s="21">
        <v>180</v>
      </c>
      <c r="K16" s="21">
        <v>652.28</v>
      </c>
      <c r="L16" s="21">
        <v>292.27999999999997</v>
      </c>
    </row>
    <row r="17" spans="1:12" x14ac:dyDescent="0.35">
      <c r="A17" s="19" t="s">
        <v>138</v>
      </c>
      <c r="B17" s="20">
        <v>41657</v>
      </c>
      <c r="C17" s="19" t="s">
        <v>55</v>
      </c>
      <c r="D17" s="19" t="s">
        <v>63</v>
      </c>
      <c r="E17" s="19" t="s">
        <v>139</v>
      </c>
      <c r="F17" s="19" t="s">
        <v>140</v>
      </c>
      <c r="G17" s="19" t="s">
        <v>56</v>
      </c>
      <c r="H17" s="19">
        <v>1</v>
      </c>
      <c r="I17" s="21">
        <v>180.39</v>
      </c>
      <c r="J17" s="21">
        <v>95</v>
      </c>
      <c r="K17" s="21">
        <v>180.39</v>
      </c>
      <c r="L17" s="21">
        <v>85.39</v>
      </c>
    </row>
    <row r="18" spans="1:12" x14ac:dyDescent="0.35">
      <c r="A18" s="19" t="s">
        <v>141</v>
      </c>
      <c r="B18" s="20">
        <v>41658</v>
      </c>
      <c r="C18" s="19" t="s">
        <v>57</v>
      </c>
      <c r="D18" s="19" t="s">
        <v>62</v>
      </c>
      <c r="E18" s="19" t="s">
        <v>91</v>
      </c>
      <c r="F18" s="19" t="s">
        <v>142</v>
      </c>
      <c r="G18" s="19" t="s">
        <v>58</v>
      </c>
      <c r="H18" s="19">
        <v>5</v>
      </c>
      <c r="I18" s="21">
        <v>12.81</v>
      </c>
      <c r="J18" s="21">
        <v>4</v>
      </c>
      <c r="L18" s="21">
        <v>44.05</v>
      </c>
    </row>
    <row r="19" spans="1:12" x14ac:dyDescent="0.35">
      <c r="A19" s="19" t="s">
        <v>143</v>
      </c>
      <c r="B19" s="20">
        <v>41659</v>
      </c>
      <c r="C19" s="19" t="s">
        <v>554</v>
      </c>
      <c r="D19" s="19" t="s">
        <v>68</v>
      </c>
      <c r="E19" s="19" t="s">
        <v>144</v>
      </c>
      <c r="F19" s="19" t="s">
        <v>125</v>
      </c>
      <c r="G19" s="19" t="s">
        <v>56</v>
      </c>
      <c r="H19" s="19">
        <v>2</v>
      </c>
      <c r="I19" s="21">
        <v>160.49</v>
      </c>
      <c r="J19" s="21">
        <v>70</v>
      </c>
      <c r="K19" s="21">
        <v>320.98</v>
      </c>
      <c r="L19" s="21">
        <v>180.98</v>
      </c>
    </row>
    <row r="20" spans="1:12" x14ac:dyDescent="0.35">
      <c r="A20" s="19" t="s">
        <v>145</v>
      </c>
      <c r="B20" s="20">
        <v>41662</v>
      </c>
      <c r="C20" s="19" t="s">
        <v>55</v>
      </c>
      <c r="D20" s="19" t="s">
        <v>68</v>
      </c>
      <c r="E20" s="19" t="s">
        <v>146</v>
      </c>
      <c r="F20" s="19" t="s">
        <v>132</v>
      </c>
      <c r="G20" s="19" t="s">
        <v>56</v>
      </c>
      <c r="H20" s="19">
        <v>1</v>
      </c>
      <c r="I20" s="21">
        <v>39.64</v>
      </c>
      <c r="J20" s="21">
        <v>15</v>
      </c>
      <c r="K20" s="21">
        <v>39.64</v>
      </c>
      <c r="L20" s="21">
        <v>24.64</v>
      </c>
    </row>
    <row r="21" spans="1:12" x14ac:dyDescent="0.35">
      <c r="A21" s="19" t="s">
        <v>147</v>
      </c>
      <c r="B21" s="20">
        <v>41663</v>
      </c>
      <c r="C21" s="19" t="s">
        <v>53</v>
      </c>
      <c r="D21" s="19" t="s">
        <v>555</v>
      </c>
      <c r="E21" s="19" t="s">
        <v>139</v>
      </c>
      <c r="F21" s="19" t="s">
        <v>115</v>
      </c>
      <c r="G21" s="19" t="s">
        <v>56</v>
      </c>
      <c r="H21" s="19">
        <v>2</v>
      </c>
      <c r="I21" s="21">
        <v>460.35</v>
      </c>
      <c r="J21" s="21">
        <v>220</v>
      </c>
      <c r="K21" s="21">
        <v>920.7</v>
      </c>
      <c r="L21" s="21">
        <v>480.7</v>
      </c>
    </row>
    <row r="22" spans="1:12" x14ac:dyDescent="0.35">
      <c r="A22" s="19" t="s">
        <v>148</v>
      </c>
      <c r="B22" s="20">
        <v>41663</v>
      </c>
      <c r="C22" s="19" t="s">
        <v>59</v>
      </c>
      <c r="D22" s="19" t="s">
        <v>68</v>
      </c>
      <c r="E22" s="19" t="s">
        <v>131</v>
      </c>
      <c r="F22" s="19" t="s">
        <v>142</v>
      </c>
      <c r="G22" s="19" t="s">
        <v>58</v>
      </c>
      <c r="H22" s="19">
        <v>3</v>
      </c>
      <c r="I22" s="21">
        <v>12.26</v>
      </c>
      <c r="J22" s="21">
        <v>4</v>
      </c>
      <c r="K22" s="21">
        <v>36.78</v>
      </c>
      <c r="L22" s="21">
        <v>24.78</v>
      </c>
    </row>
    <row r="23" spans="1:12" x14ac:dyDescent="0.35">
      <c r="A23" s="19" t="s">
        <v>149</v>
      </c>
      <c r="B23" s="20">
        <v>41664</v>
      </c>
      <c r="C23" s="19" t="s">
        <v>57</v>
      </c>
      <c r="D23" s="19" t="s">
        <v>62</v>
      </c>
      <c r="E23" s="19" t="s">
        <v>150</v>
      </c>
      <c r="F23" s="19" t="s">
        <v>132</v>
      </c>
      <c r="G23" s="19" t="s">
        <v>56</v>
      </c>
      <c r="H23" s="19">
        <v>2</v>
      </c>
      <c r="I23" s="21">
        <v>38.549999999999997</v>
      </c>
      <c r="J23" s="21">
        <v>15</v>
      </c>
      <c r="K23" s="21">
        <v>77.099999999999994</v>
      </c>
      <c r="L23" s="21">
        <v>47.1</v>
      </c>
    </row>
    <row r="24" spans="1:12" x14ac:dyDescent="0.35">
      <c r="A24" s="19" t="s">
        <v>151</v>
      </c>
      <c r="B24" s="20">
        <v>41664</v>
      </c>
      <c r="C24" s="19" t="s">
        <v>57</v>
      </c>
      <c r="D24" s="19" t="s">
        <v>62</v>
      </c>
      <c r="E24" s="19" t="s">
        <v>87</v>
      </c>
      <c r="F24" s="19" t="s">
        <v>118</v>
      </c>
      <c r="G24" s="19" t="s">
        <v>54</v>
      </c>
      <c r="H24" s="19">
        <v>2</v>
      </c>
      <c r="I24" s="21">
        <v>28.93</v>
      </c>
      <c r="J24" s="21">
        <v>12</v>
      </c>
      <c r="K24" s="21">
        <v>57.86</v>
      </c>
      <c r="L24" s="21">
        <v>33.86</v>
      </c>
    </row>
    <row r="25" spans="1:12" x14ac:dyDescent="0.35">
      <c r="A25" s="19" t="s">
        <v>152</v>
      </c>
      <c r="B25" s="20">
        <v>41665</v>
      </c>
      <c r="C25" s="19" t="s">
        <v>55</v>
      </c>
      <c r="D25" s="19" t="s">
        <v>63</v>
      </c>
      <c r="E25" s="19" t="s">
        <v>153</v>
      </c>
      <c r="F25" s="19" t="s">
        <v>137</v>
      </c>
      <c r="G25" s="19" t="s">
        <v>54</v>
      </c>
      <c r="H25" s="19">
        <v>1</v>
      </c>
      <c r="I25" s="21">
        <v>339.44</v>
      </c>
      <c r="J25" s="21">
        <v>180</v>
      </c>
      <c r="L25" s="21">
        <v>159.44</v>
      </c>
    </row>
    <row r="26" spans="1:12" x14ac:dyDescent="0.35">
      <c r="A26" s="19" t="s">
        <v>154</v>
      </c>
      <c r="B26" s="20">
        <v>41666</v>
      </c>
      <c r="C26" s="19" t="s">
        <v>57</v>
      </c>
      <c r="D26" s="19" t="s">
        <v>62</v>
      </c>
      <c r="E26" s="19" t="s">
        <v>131</v>
      </c>
      <c r="F26" s="19" t="s">
        <v>142</v>
      </c>
      <c r="G26" s="19" t="s">
        <v>58</v>
      </c>
      <c r="H26" s="19">
        <v>1</v>
      </c>
      <c r="I26" s="21">
        <v>12.29</v>
      </c>
      <c r="J26" s="21">
        <v>4</v>
      </c>
      <c r="K26" s="21">
        <v>12.29</v>
      </c>
      <c r="L26" s="21">
        <v>8.2899999999999991</v>
      </c>
    </row>
    <row r="27" spans="1:12" x14ac:dyDescent="0.35">
      <c r="A27" s="19" t="s">
        <v>155</v>
      </c>
      <c r="B27" s="20">
        <v>41666</v>
      </c>
      <c r="C27" s="19" t="s">
        <v>59</v>
      </c>
      <c r="D27" s="19" t="s">
        <v>68</v>
      </c>
      <c r="E27" s="19" t="s">
        <v>139</v>
      </c>
      <c r="F27" s="19" t="s">
        <v>156</v>
      </c>
      <c r="G27" s="19" t="s">
        <v>54</v>
      </c>
      <c r="H27" s="19">
        <v>2</v>
      </c>
      <c r="I27" s="21">
        <v>47</v>
      </c>
      <c r="J27" s="21">
        <v>18</v>
      </c>
      <c r="K27" s="21">
        <v>94</v>
      </c>
      <c r="L27" s="21">
        <v>58</v>
      </c>
    </row>
    <row r="28" spans="1:12" x14ac:dyDescent="0.35">
      <c r="A28" s="19" t="s">
        <v>157</v>
      </c>
      <c r="B28" s="20">
        <v>41668</v>
      </c>
      <c r="C28" s="19" t="s">
        <v>57</v>
      </c>
      <c r="D28" s="19" t="s">
        <v>66</v>
      </c>
      <c r="E28" s="19" t="s">
        <v>144</v>
      </c>
      <c r="F28" s="19" t="s">
        <v>128</v>
      </c>
      <c r="G28" s="19" t="s">
        <v>54</v>
      </c>
      <c r="H28" s="19">
        <v>2</v>
      </c>
      <c r="I28" s="21">
        <v>85.06</v>
      </c>
      <c r="J28" s="21">
        <v>40</v>
      </c>
      <c r="K28" s="21">
        <v>170.12</v>
      </c>
      <c r="L28" s="21">
        <v>90.12</v>
      </c>
    </row>
    <row r="29" spans="1:12" x14ac:dyDescent="0.35">
      <c r="A29" s="19" t="s">
        <v>158</v>
      </c>
      <c r="B29" s="20">
        <v>41668</v>
      </c>
      <c r="C29" s="19" t="s">
        <v>59</v>
      </c>
      <c r="D29" s="19" t="s">
        <v>61</v>
      </c>
      <c r="E29" s="19" t="s">
        <v>144</v>
      </c>
      <c r="F29" s="19" t="s">
        <v>156</v>
      </c>
      <c r="G29" s="19" t="s">
        <v>54</v>
      </c>
      <c r="H29" s="19">
        <v>3</v>
      </c>
      <c r="I29" s="21">
        <v>50.13</v>
      </c>
      <c r="J29" s="21">
        <v>18</v>
      </c>
      <c r="K29" s="21">
        <v>150.38999999999999</v>
      </c>
      <c r="L29" s="21">
        <v>96.39</v>
      </c>
    </row>
    <row r="30" spans="1:12" x14ac:dyDescent="0.35">
      <c r="A30" s="19" t="s">
        <v>159</v>
      </c>
      <c r="B30" s="20">
        <v>41669</v>
      </c>
      <c r="C30" s="19" t="s">
        <v>59</v>
      </c>
      <c r="D30" s="19" t="s">
        <v>68</v>
      </c>
      <c r="E30" s="19" t="s">
        <v>100</v>
      </c>
      <c r="F30" s="19" t="s">
        <v>125</v>
      </c>
      <c r="G30" s="19" t="s">
        <v>56</v>
      </c>
      <c r="H30" s="19">
        <v>1</v>
      </c>
      <c r="I30" s="21">
        <v>154.91</v>
      </c>
      <c r="J30" s="21">
        <v>70</v>
      </c>
      <c r="K30" s="21">
        <v>154.91</v>
      </c>
      <c r="L30" s="21">
        <v>84.91</v>
      </c>
    </row>
    <row r="31" spans="1:12" x14ac:dyDescent="0.35">
      <c r="A31" s="19" t="s">
        <v>160</v>
      </c>
      <c r="B31" s="20">
        <v>41670</v>
      </c>
      <c r="C31" s="19" t="s">
        <v>57</v>
      </c>
      <c r="D31" s="19" t="s">
        <v>62</v>
      </c>
      <c r="E31" s="19" t="s">
        <v>117</v>
      </c>
      <c r="F31" s="19" t="s">
        <v>156</v>
      </c>
      <c r="G31" s="19" t="s">
        <v>54</v>
      </c>
      <c r="H31" s="19">
        <v>1</v>
      </c>
      <c r="I31" s="21">
        <v>46.95</v>
      </c>
      <c r="J31" s="21">
        <v>18</v>
      </c>
      <c r="K31" s="21">
        <v>46.95</v>
      </c>
      <c r="L31" s="21">
        <v>28.95</v>
      </c>
    </row>
    <row r="32" spans="1:12" x14ac:dyDescent="0.35">
      <c r="A32" s="19" t="s">
        <v>161</v>
      </c>
      <c r="B32" s="20">
        <v>41670</v>
      </c>
      <c r="C32" s="19" t="s">
        <v>53</v>
      </c>
      <c r="D32" s="19" t="s">
        <v>64</v>
      </c>
      <c r="E32" s="19" t="s">
        <v>150</v>
      </c>
      <c r="F32" s="19" t="s">
        <v>115</v>
      </c>
      <c r="G32" s="19" t="s">
        <v>56</v>
      </c>
      <c r="H32" s="19">
        <v>1</v>
      </c>
      <c r="I32" s="21">
        <v>458.49</v>
      </c>
      <c r="J32" s="21">
        <v>220</v>
      </c>
      <c r="L32" s="21">
        <v>238.49</v>
      </c>
    </row>
    <row r="33" spans="1:12" x14ac:dyDescent="0.35">
      <c r="A33" s="19" t="s">
        <v>162</v>
      </c>
      <c r="B33" s="20">
        <v>41670</v>
      </c>
      <c r="C33" s="19" t="s">
        <v>59</v>
      </c>
      <c r="D33" s="19" t="s">
        <v>61</v>
      </c>
      <c r="E33" s="19" t="s">
        <v>556</v>
      </c>
      <c r="F33" s="19" t="s">
        <v>123</v>
      </c>
      <c r="G33" s="19" t="s">
        <v>54</v>
      </c>
      <c r="H33" s="19">
        <v>3</v>
      </c>
      <c r="I33" s="21">
        <v>66.8</v>
      </c>
      <c r="J33" s="21">
        <v>28</v>
      </c>
      <c r="K33" s="21">
        <v>200.4</v>
      </c>
      <c r="L33" s="21">
        <v>116.4</v>
      </c>
    </row>
    <row r="34" spans="1:12" x14ac:dyDescent="0.35">
      <c r="A34" s="19" t="s">
        <v>163</v>
      </c>
      <c r="B34" s="20">
        <v>41674</v>
      </c>
      <c r="C34" s="19" t="s">
        <v>57</v>
      </c>
      <c r="D34" s="19" t="s">
        <v>62</v>
      </c>
      <c r="E34" s="19" t="s">
        <v>164</v>
      </c>
      <c r="F34" s="19" t="s">
        <v>132</v>
      </c>
      <c r="G34" s="19" t="s">
        <v>56</v>
      </c>
      <c r="H34" s="19">
        <v>1</v>
      </c>
      <c r="I34" s="21">
        <v>33.94</v>
      </c>
      <c r="J34" s="21">
        <v>15</v>
      </c>
      <c r="K34" s="21">
        <v>33.94</v>
      </c>
      <c r="L34" s="21">
        <v>18.940000000000001</v>
      </c>
    </row>
    <row r="35" spans="1:12" x14ac:dyDescent="0.35">
      <c r="A35" s="19" t="s">
        <v>165</v>
      </c>
      <c r="B35" s="20">
        <v>41674</v>
      </c>
      <c r="C35" s="19" t="s">
        <v>59</v>
      </c>
      <c r="D35" s="19" t="s">
        <v>61</v>
      </c>
      <c r="E35" s="19" t="s">
        <v>100</v>
      </c>
      <c r="F35" s="19" t="s">
        <v>132</v>
      </c>
      <c r="G35" s="19" t="s">
        <v>56</v>
      </c>
      <c r="H35" s="19">
        <v>1</v>
      </c>
      <c r="I35" s="21">
        <v>32.229999999999997</v>
      </c>
      <c r="J35" s="21">
        <v>15</v>
      </c>
      <c r="K35" s="21">
        <v>32.229999999999997</v>
      </c>
      <c r="L35" s="21">
        <v>17.23</v>
      </c>
    </row>
    <row r="36" spans="1:12" x14ac:dyDescent="0.35">
      <c r="A36" s="19" t="s">
        <v>166</v>
      </c>
      <c r="B36" s="20">
        <v>41675</v>
      </c>
      <c r="C36" s="19" t="s">
        <v>59</v>
      </c>
      <c r="D36" s="19" t="s">
        <v>61</v>
      </c>
      <c r="E36" s="19" t="s">
        <v>100</v>
      </c>
      <c r="F36" s="19" t="s">
        <v>115</v>
      </c>
      <c r="G36" s="19" t="s">
        <v>56</v>
      </c>
      <c r="H36" s="19">
        <v>1</v>
      </c>
      <c r="I36" s="21">
        <v>395.86</v>
      </c>
      <c r="J36" s="21">
        <v>220</v>
      </c>
      <c r="K36" s="21">
        <v>395.86</v>
      </c>
      <c r="L36" s="21">
        <v>175.86</v>
      </c>
    </row>
    <row r="37" spans="1:12" x14ac:dyDescent="0.35">
      <c r="A37" s="19" t="s">
        <v>167</v>
      </c>
      <c r="B37" s="20">
        <v>41675</v>
      </c>
      <c r="C37" s="19" t="s">
        <v>59</v>
      </c>
      <c r="D37" s="19" t="s">
        <v>63</v>
      </c>
      <c r="E37" s="19" t="s">
        <v>150</v>
      </c>
      <c r="F37" s="19" t="s">
        <v>115</v>
      </c>
      <c r="G37" s="19" t="s">
        <v>56</v>
      </c>
      <c r="H37" s="19">
        <v>3</v>
      </c>
      <c r="I37" s="21">
        <v>399.91</v>
      </c>
      <c r="J37" s="21">
        <v>220</v>
      </c>
      <c r="K37" s="21">
        <v>1199.73</v>
      </c>
    </row>
    <row r="38" spans="1:12" x14ac:dyDescent="0.35">
      <c r="A38" s="19" t="s">
        <v>168</v>
      </c>
      <c r="B38" s="20">
        <v>41676</v>
      </c>
      <c r="C38" s="19" t="s">
        <v>55</v>
      </c>
      <c r="D38" s="19" t="s">
        <v>63</v>
      </c>
      <c r="E38" s="19" t="s">
        <v>100</v>
      </c>
      <c r="F38" s="19" t="s">
        <v>118</v>
      </c>
      <c r="G38" s="19" t="s">
        <v>54</v>
      </c>
      <c r="H38" s="19">
        <v>4</v>
      </c>
      <c r="I38" s="21">
        <v>24.36</v>
      </c>
      <c r="J38" s="21">
        <v>12</v>
      </c>
      <c r="K38" s="21">
        <v>97.44</v>
      </c>
      <c r="L38" s="21">
        <v>49.44</v>
      </c>
    </row>
    <row r="39" spans="1:12" x14ac:dyDescent="0.35">
      <c r="A39" s="19" t="s">
        <v>169</v>
      </c>
      <c r="B39" s="20">
        <v>41676</v>
      </c>
      <c r="C39" s="19" t="s">
        <v>57</v>
      </c>
      <c r="D39" s="19" t="s">
        <v>61</v>
      </c>
      <c r="E39" s="19" t="s">
        <v>89</v>
      </c>
      <c r="F39" s="19" t="s">
        <v>118</v>
      </c>
      <c r="G39" s="19" t="s">
        <v>54</v>
      </c>
      <c r="H39" s="19">
        <v>1</v>
      </c>
      <c r="I39" s="21">
        <v>23.86</v>
      </c>
      <c r="J39" s="21">
        <v>12</v>
      </c>
      <c r="K39" s="21">
        <v>23.86</v>
      </c>
      <c r="L39" s="21">
        <v>11.86</v>
      </c>
    </row>
    <row r="40" spans="1:12" x14ac:dyDescent="0.35">
      <c r="A40" s="19" t="s">
        <v>170</v>
      </c>
      <c r="B40" s="20">
        <v>41677</v>
      </c>
      <c r="C40" s="19" t="s">
        <v>55</v>
      </c>
      <c r="D40" s="19" t="s">
        <v>63</v>
      </c>
      <c r="E40" s="19" t="s">
        <v>91</v>
      </c>
      <c r="F40" s="19" t="s">
        <v>123</v>
      </c>
      <c r="G40" s="19" t="s">
        <v>54</v>
      </c>
      <c r="H40" s="19">
        <v>1</v>
      </c>
      <c r="I40" s="21">
        <v>59.8</v>
      </c>
      <c r="J40" s="21">
        <v>28</v>
      </c>
      <c r="K40" s="21">
        <v>59.8</v>
      </c>
      <c r="L40" s="21">
        <v>31.8</v>
      </c>
    </row>
    <row r="41" spans="1:12" x14ac:dyDescent="0.35">
      <c r="A41" s="19" t="s">
        <v>171</v>
      </c>
      <c r="B41" s="20">
        <v>41677</v>
      </c>
      <c r="C41" s="19" t="s">
        <v>53</v>
      </c>
      <c r="D41" s="19" t="s">
        <v>67</v>
      </c>
      <c r="E41" s="19" t="s">
        <v>89</v>
      </c>
      <c r="F41" s="19" t="s">
        <v>142</v>
      </c>
      <c r="G41" s="19" t="s">
        <v>58</v>
      </c>
      <c r="H41" s="19">
        <v>1</v>
      </c>
      <c r="I41" s="21">
        <v>11.07</v>
      </c>
      <c r="J41" s="21">
        <v>4</v>
      </c>
      <c r="K41" s="21">
        <v>11.07</v>
      </c>
      <c r="L41" s="21">
        <v>7.07</v>
      </c>
    </row>
    <row r="42" spans="1:12" x14ac:dyDescent="0.35">
      <c r="A42" s="19" t="s">
        <v>172</v>
      </c>
      <c r="B42" s="20">
        <v>41678</v>
      </c>
      <c r="C42" s="19" t="s">
        <v>53</v>
      </c>
      <c r="D42" s="19" t="s">
        <v>67</v>
      </c>
      <c r="E42" s="19" t="s">
        <v>117</v>
      </c>
      <c r="F42" s="19" t="s">
        <v>128</v>
      </c>
      <c r="G42" s="19" t="s">
        <v>54</v>
      </c>
      <c r="H42" s="19">
        <v>3</v>
      </c>
      <c r="I42" s="21">
        <v>72.56</v>
      </c>
      <c r="J42" s="21">
        <v>40</v>
      </c>
      <c r="K42" s="21">
        <v>217.68</v>
      </c>
      <c r="L42" s="21">
        <v>97.68</v>
      </c>
    </row>
    <row r="43" spans="1:12" x14ac:dyDescent="0.35">
      <c r="A43" s="19" t="s">
        <v>173</v>
      </c>
      <c r="B43" s="20">
        <v>41678</v>
      </c>
      <c r="C43" s="19" t="s">
        <v>59</v>
      </c>
      <c r="D43" s="19" t="s">
        <v>61</v>
      </c>
      <c r="E43" s="19" t="s">
        <v>139</v>
      </c>
      <c r="F43" s="19" t="s">
        <v>125</v>
      </c>
      <c r="G43" s="19" t="s">
        <v>56</v>
      </c>
      <c r="H43" s="19">
        <v>1</v>
      </c>
      <c r="I43" s="21">
        <v>128.94</v>
      </c>
      <c r="J43" s="21">
        <v>70</v>
      </c>
      <c r="K43" s="21">
        <v>128.94</v>
      </c>
      <c r="L43" s="21">
        <v>58.94</v>
      </c>
    </row>
    <row r="44" spans="1:12" x14ac:dyDescent="0.35">
      <c r="A44" s="19" t="s">
        <v>174</v>
      </c>
      <c r="B44" s="20">
        <v>41679</v>
      </c>
      <c r="C44" s="19" t="s">
        <v>57</v>
      </c>
      <c r="D44" s="19" t="s">
        <v>66</v>
      </c>
      <c r="E44" s="19" t="s">
        <v>117</v>
      </c>
      <c r="F44" s="19" t="s">
        <v>128</v>
      </c>
      <c r="G44" s="19" t="s">
        <v>54</v>
      </c>
      <c r="H44" s="19">
        <v>2</v>
      </c>
      <c r="I44" s="21">
        <v>73.349999999999994</v>
      </c>
      <c r="J44" s="21">
        <v>40</v>
      </c>
      <c r="L44" s="21">
        <v>66.7</v>
      </c>
    </row>
    <row r="45" spans="1:12" x14ac:dyDescent="0.35">
      <c r="A45" s="19" t="s">
        <v>175</v>
      </c>
      <c r="B45" s="20">
        <v>41680</v>
      </c>
      <c r="C45" s="19" t="s">
        <v>55</v>
      </c>
      <c r="D45" s="19" t="s">
        <v>65</v>
      </c>
      <c r="E45" s="19" t="s">
        <v>87</v>
      </c>
      <c r="F45" s="19" t="s">
        <v>142</v>
      </c>
      <c r="G45" s="19" t="s">
        <v>58</v>
      </c>
      <c r="H45" s="19">
        <v>2</v>
      </c>
      <c r="I45" s="21">
        <v>10.98</v>
      </c>
      <c r="J45" s="21">
        <v>4</v>
      </c>
      <c r="K45" s="21">
        <v>21.96</v>
      </c>
      <c r="L45" s="21">
        <v>13.96</v>
      </c>
    </row>
    <row r="46" spans="1:12" x14ac:dyDescent="0.35">
      <c r="A46" s="19" t="s">
        <v>176</v>
      </c>
      <c r="B46" s="20">
        <v>41681</v>
      </c>
      <c r="C46" s="19" t="s">
        <v>53</v>
      </c>
      <c r="D46" s="19" t="s">
        <v>61</v>
      </c>
      <c r="E46" s="19" t="s">
        <v>557</v>
      </c>
      <c r="F46" s="19" t="s">
        <v>156</v>
      </c>
      <c r="G46" s="19" t="s">
        <v>54</v>
      </c>
      <c r="H46" s="19">
        <v>2</v>
      </c>
      <c r="I46" s="21">
        <v>43.49</v>
      </c>
      <c r="J46" s="21">
        <v>18</v>
      </c>
      <c r="K46" s="21">
        <v>86.98</v>
      </c>
      <c r="L46" s="21">
        <v>50.98</v>
      </c>
    </row>
    <row r="47" spans="1:12" x14ac:dyDescent="0.35">
      <c r="A47" s="19" t="s">
        <v>177</v>
      </c>
      <c r="B47" s="20">
        <v>41681</v>
      </c>
      <c r="C47" s="19" t="s">
        <v>59</v>
      </c>
      <c r="D47" s="19" t="s">
        <v>68</v>
      </c>
      <c r="E47" s="19" t="s">
        <v>98</v>
      </c>
      <c r="F47" s="19" t="s">
        <v>125</v>
      </c>
      <c r="G47" s="19" t="s">
        <v>56</v>
      </c>
      <c r="H47" s="19">
        <v>1</v>
      </c>
      <c r="I47" s="21">
        <v>131.91999999999999</v>
      </c>
      <c r="J47" s="21">
        <v>70</v>
      </c>
      <c r="K47" s="21">
        <v>131.91999999999999</v>
      </c>
      <c r="L47" s="21">
        <v>61.92</v>
      </c>
    </row>
    <row r="48" spans="1:12" x14ac:dyDescent="0.35">
      <c r="A48" s="19" t="s">
        <v>178</v>
      </c>
      <c r="B48" s="20">
        <v>41681</v>
      </c>
      <c r="C48" s="19" t="s">
        <v>53</v>
      </c>
      <c r="D48" s="19" t="s">
        <v>63</v>
      </c>
      <c r="E48" s="19" t="s">
        <v>146</v>
      </c>
      <c r="F48" s="19" t="s">
        <v>156</v>
      </c>
      <c r="G48" s="19" t="s">
        <v>54</v>
      </c>
      <c r="H48" s="19">
        <v>3</v>
      </c>
      <c r="I48" s="21">
        <v>42.82</v>
      </c>
      <c r="J48" s="21">
        <v>18</v>
      </c>
      <c r="K48" s="21">
        <v>128.46</v>
      </c>
    </row>
    <row r="49" spans="1:12" x14ac:dyDescent="0.35">
      <c r="A49" s="19" t="s">
        <v>179</v>
      </c>
      <c r="B49" s="20">
        <v>41681</v>
      </c>
      <c r="C49" s="19" t="s">
        <v>57</v>
      </c>
      <c r="D49" s="19" t="s">
        <v>66</v>
      </c>
      <c r="E49" s="19" t="s">
        <v>131</v>
      </c>
      <c r="F49" s="19" t="s">
        <v>125</v>
      </c>
      <c r="G49" s="19" t="s">
        <v>56</v>
      </c>
      <c r="H49" s="19">
        <v>1</v>
      </c>
      <c r="I49" s="21">
        <v>132.66999999999999</v>
      </c>
      <c r="J49" s="21">
        <v>70</v>
      </c>
      <c r="K49" s="21">
        <v>132.66999999999999</v>
      </c>
      <c r="L49" s="21">
        <v>62.67</v>
      </c>
    </row>
    <row r="50" spans="1:12" x14ac:dyDescent="0.35">
      <c r="A50" s="19" t="s">
        <v>180</v>
      </c>
      <c r="B50" s="20">
        <v>41681</v>
      </c>
      <c r="C50" s="19" t="s">
        <v>59</v>
      </c>
      <c r="D50" s="19" t="s">
        <v>67</v>
      </c>
      <c r="E50" s="19" t="s">
        <v>87</v>
      </c>
      <c r="F50" s="19" t="s">
        <v>125</v>
      </c>
      <c r="G50" s="19" t="s">
        <v>56</v>
      </c>
      <c r="H50" s="19">
        <v>2</v>
      </c>
      <c r="I50" s="21">
        <v>137</v>
      </c>
      <c r="J50" s="21">
        <v>70</v>
      </c>
      <c r="K50" s="21">
        <v>274</v>
      </c>
      <c r="L50" s="21">
        <v>134</v>
      </c>
    </row>
    <row r="51" spans="1:12" x14ac:dyDescent="0.35">
      <c r="A51" s="19" t="s">
        <v>181</v>
      </c>
      <c r="B51" s="20">
        <v>41683</v>
      </c>
      <c r="C51" s="19" t="s">
        <v>53</v>
      </c>
      <c r="D51" s="19" t="s">
        <v>64</v>
      </c>
      <c r="E51" s="19" t="s">
        <v>91</v>
      </c>
      <c r="F51" s="19" t="s">
        <v>137</v>
      </c>
      <c r="G51" s="19" t="s">
        <v>54</v>
      </c>
      <c r="H51" s="19">
        <v>3</v>
      </c>
      <c r="I51" s="21">
        <v>284.41000000000003</v>
      </c>
      <c r="J51" s="21">
        <v>180</v>
      </c>
      <c r="K51" s="21">
        <v>853.23</v>
      </c>
      <c r="L51" s="21">
        <v>313.23</v>
      </c>
    </row>
    <row r="52" spans="1:12" x14ac:dyDescent="0.35">
      <c r="A52" s="19" t="s">
        <v>182</v>
      </c>
      <c r="B52" s="20">
        <v>41683</v>
      </c>
      <c r="C52" s="19" t="s">
        <v>57</v>
      </c>
      <c r="D52" s="19" t="s">
        <v>62</v>
      </c>
      <c r="E52" s="19" t="s">
        <v>139</v>
      </c>
      <c r="F52" s="19" t="s">
        <v>115</v>
      </c>
      <c r="G52" s="19" t="s">
        <v>56</v>
      </c>
      <c r="H52" s="19">
        <v>1</v>
      </c>
      <c r="I52" s="21">
        <v>375.66</v>
      </c>
      <c r="J52" s="21">
        <v>220</v>
      </c>
      <c r="K52" s="21">
        <v>375.66</v>
      </c>
      <c r="L52" s="21">
        <v>155.66</v>
      </c>
    </row>
    <row r="53" spans="1:12" x14ac:dyDescent="0.35">
      <c r="A53" s="19" t="s">
        <v>183</v>
      </c>
      <c r="B53" s="20">
        <v>41683</v>
      </c>
      <c r="C53" s="19" t="s">
        <v>57</v>
      </c>
      <c r="D53" s="19" t="s">
        <v>66</v>
      </c>
      <c r="E53" s="19" t="s">
        <v>87</v>
      </c>
      <c r="F53" s="19" t="s">
        <v>123</v>
      </c>
      <c r="G53" s="19" t="s">
        <v>54</v>
      </c>
      <c r="H53" s="19">
        <v>1</v>
      </c>
      <c r="I53" s="21">
        <v>56.08</v>
      </c>
      <c r="J53" s="21">
        <v>28</v>
      </c>
      <c r="K53" s="21">
        <v>56.08</v>
      </c>
      <c r="L53" s="21">
        <v>28.08</v>
      </c>
    </row>
    <row r="54" spans="1:12" x14ac:dyDescent="0.35">
      <c r="A54" s="19" t="s">
        <v>184</v>
      </c>
      <c r="B54" s="20">
        <v>41685</v>
      </c>
      <c r="C54" s="19" t="s">
        <v>55</v>
      </c>
      <c r="D54" s="19" t="s">
        <v>65</v>
      </c>
      <c r="E54" s="19" t="s">
        <v>139</v>
      </c>
      <c r="F54" s="19" t="s">
        <v>140</v>
      </c>
      <c r="G54" s="19" t="s">
        <v>56</v>
      </c>
      <c r="H54" s="19">
        <v>4</v>
      </c>
      <c r="I54" s="21">
        <v>155.43</v>
      </c>
      <c r="J54" s="21">
        <v>95</v>
      </c>
      <c r="K54" s="21">
        <v>621.72</v>
      </c>
      <c r="L54" s="21">
        <v>241.72</v>
      </c>
    </row>
    <row r="55" spans="1:12" x14ac:dyDescent="0.35">
      <c r="A55" s="19" t="s">
        <v>185</v>
      </c>
      <c r="B55" s="20">
        <v>41685</v>
      </c>
      <c r="C55" s="19" t="s">
        <v>59</v>
      </c>
      <c r="D55" s="19" t="s">
        <v>61</v>
      </c>
      <c r="E55" s="19" t="s">
        <v>91</v>
      </c>
      <c r="F55" s="19" t="s">
        <v>132</v>
      </c>
      <c r="G55" s="19" t="s">
        <v>56</v>
      </c>
      <c r="H55" s="19">
        <v>2</v>
      </c>
      <c r="I55" s="21">
        <v>34.69</v>
      </c>
      <c r="J55" s="21">
        <v>15</v>
      </c>
      <c r="K55" s="21">
        <v>69.38</v>
      </c>
      <c r="L55" s="21">
        <v>39.380000000000003</v>
      </c>
    </row>
    <row r="56" spans="1:12" x14ac:dyDescent="0.35">
      <c r="A56" s="19" t="s">
        <v>186</v>
      </c>
      <c r="B56" s="20">
        <v>41686</v>
      </c>
      <c r="C56" s="19" t="s">
        <v>55</v>
      </c>
      <c r="D56" s="19" t="s">
        <v>65</v>
      </c>
      <c r="E56" s="19" t="s">
        <v>98</v>
      </c>
      <c r="F56" s="19" t="s">
        <v>140</v>
      </c>
      <c r="G56" s="19" t="s">
        <v>56</v>
      </c>
      <c r="H56" s="19">
        <v>1</v>
      </c>
      <c r="I56" s="21">
        <v>157.97999999999999</v>
      </c>
      <c r="J56" s="21">
        <v>95</v>
      </c>
      <c r="K56" s="21">
        <v>157.97999999999999</v>
      </c>
      <c r="L56" s="21">
        <v>62.98</v>
      </c>
    </row>
    <row r="57" spans="1:12" x14ac:dyDescent="0.35">
      <c r="A57" s="19" t="s">
        <v>187</v>
      </c>
      <c r="B57" s="20">
        <v>41686</v>
      </c>
      <c r="C57" s="19" t="s">
        <v>59</v>
      </c>
      <c r="D57" s="19" t="s">
        <v>68</v>
      </c>
      <c r="E57" s="19" t="s">
        <v>100</v>
      </c>
      <c r="F57" s="19" t="s">
        <v>140</v>
      </c>
      <c r="G57" s="19" t="s">
        <v>56</v>
      </c>
      <c r="H57" s="19">
        <v>2</v>
      </c>
      <c r="I57" s="21">
        <v>165.63</v>
      </c>
      <c r="J57" s="21">
        <v>95</v>
      </c>
      <c r="K57" s="21">
        <v>331.26</v>
      </c>
      <c r="L57" s="21">
        <v>141.26</v>
      </c>
    </row>
    <row r="58" spans="1:12" x14ac:dyDescent="0.35">
      <c r="A58" s="19" t="s">
        <v>188</v>
      </c>
      <c r="B58" s="20">
        <v>41687</v>
      </c>
      <c r="C58" s="19" t="s">
        <v>57</v>
      </c>
      <c r="D58" s="19" t="s">
        <v>68</v>
      </c>
      <c r="E58" s="19" t="s">
        <v>98</v>
      </c>
      <c r="F58" s="19" t="s">
        <v>142</v>
      </c>
      <c r="G58" s="19" t="s">
        <v>58</v>
      </c>
      <c r="H58" s="19">
        <v>3</v>
      </c>
      <c r="I58" s="21">
        <v>10.87</v>
      </c>
      <c r="J58" s="21">
        <v>4</v>
      </c>
      <c r="K58" s="21">
        <v>32.61</v>
      </c>
      <c r="L58" s="21">
        <v>20.61</v>
      </c>
    </row>
    <row r="59" spans="1:12" x14ac:dyDescent="0.35">
      <c r="A59" s="19" t="s">
        <v>189</v>
      </c>
      <c r="B59" s="20">
        <v>41689</v>
      </c>
      <c r="C59" s="19" t="s">
        <v>53</v>
      </c>
      <c r="D59" s="19" t="s">
        <v>67</v>
      </c>
      <c r="E59" s="19" t="s">
        <v>134</v>
      </c>
      <c r="F59" s="19" t="s">
        <v>140</v>
      </c>
      <c r="G59" s="19" t="s">
        <v>56</v>
      </c>
      <c r="H59" s="19">
        <v>2</v>
      </c>
      <c r="I59" s="21">
        <v>164.38</v>
      </c>
      <c r="J59" s="21">
        <v>95</v>
      </c>
      <c r="K59" s="21">
        <v>328.76</v>
      </c>
      <c r="L59" s="21">
        <v>138.76</v>
      </c>
    </row>
    <row r="60" spans="1:12" x14ac:dyDescent="0.35">
      <c r="A60" s="19" t="s">
        <v>190</v>
      </c>
      <c r="B60" s="20">
        <v>41689</v>
      </c>
      <c r="C60" s="19" t="s">
        <v>55</v>
      </c>
      <c r="D60" s="19" t="s">
        <v>558</v>
      </c>
      <c r="E60" s="19" t="s">
        <v>134</v>
      </c>
      <c r="F60" s="19" t="s">
        <v>137</v>
      </c>
      <c r="G60" s="19" t="s">
        <v>54</v>
      </c>
      <c r="H60" s="19">
        <v>1</v>
      </c>
      <c r="I60" s="21">
        <v>266.92</v>
      </c>
      <c r="J60" s="21">
        <v>180</v>
      </c>
      <c r="K60" s="21">
        <v>266.92</v>
      </c>
      <c r="L60" s="21">
        <v>86.92</v>
      </c>
    </row>
    <row r="61" spans="1:12" x14ac:dyDescent="0.35">
      <c r="A61" s="19" t="s">
        <v>191</v>
      </c>
      <c r="B61" s="20">
        <v>41689</v>
      </c>
      <c r="C61" s="19" t="s">
        <v>59</v>
      </c>
      <c r="D61" s="19" t="s">
        <v>61</v>
      </c>
      <c r="E61" s="19" t="s">
        <v>114</v>
      </c>
      <c r="F61" s="19" t="s">
        <v>125</v>
      </c>
      <c r="G61" s="19" t="s">
        <v>56</v>
      </c>
      <c r="H61" s="19">
        <v>2</v>
      </c>
      <c r="I61" s="21">
        <v>136.87</v>
      </c>
      <c r="J61" s="21">
        <v>70</v>
      </c>
      <c r="K61" s="21">
        <v>273.74</v>
      </c>
      <c r="L61" s="21">
        <v>133.74</v>
      </c>
    </row>
    <row r="62" spans="1:12" x14ac:dyDescent="0.35">
      <c r="A62" s="19" t="s">
        <v>192</v>
      </c>
      <c r="B62" s="20">
        <v>41691</v>
      </c>
      <c r="C62" s="19" t="s">
        <v>55</v>
      </c>
      <c r="D62" s="19" t="s">
        <v>63</v>
      </c>
      <c r="E62" s="19" t="s">
        <v>144</v>
      </c>
      <c r="F62" s="19" t="s">
        <v>140</v>
      </c>
      <c r="G62" s="19" t="s">
        <v>56</v>
      </c>
      <c r="H62" s="19">
        <v>1</v>
      </c>
      <c r="I62" s="21">
        <v>165.41</v>
      </c>
      <c r="J62" s="21">
        <v>95</v>
      </c>
      <c r="K62" s="21">
        <v>165.41</v>
      </c>
      <c r="L62" s="21">
        <v>70.41</v>
      </c>
    </row>
    <row r="63" spans="1:12" x14ac:dyDescent="0.35">
      <c r="A63" s="19" t="s">
        <v>193</v>
      </c>
      <c r="B63" s="20">
        <v>41691</v>
      </c>
      <c r="C63" s="19" t="s">
        <v>53</v>
      </c>
      <c r="D63" s="19" t="s">
        <v>64</v>
      </c>
      <c r="E63" s="19" t="s">
        <v>153</v>
      </c>
      <c r="F63" s="19" t="s">
        <v>137</v>
      </c>
      <c r="G63" s="19" t="s">
        <v>54</v>
      </c>
      <c r="H63" s="19">
        <v>4</v>
      </c>
      <c r="I63" s="21">
        <v>273.05</v>
      </c>
      <c r="J63" s="21">
        <v>180</v>
      </c>
      <c r="K63" s="21">
        <v>1092.2</v>
      </c>
      <c r="L63" s="21">
        <v>372.2</v>
      </c>
    </row>
    <row r="64" spans="1:12" x14ac:dyDescent="0.35">
      <c r="A64" s="19" t="s">
        <v>194</v>
      </c>
      <c r="B64" s="20">
        <v>41691</v>
      </c>
      <c r="C64" s="19" t="s">
        <v>53</v>
      </c>
      <c r="D64" s="19" t="s">
        <v>64</v>
      </c>
      <c r="E64" s="19" t="s">
        <v>134</v>
      </c>
      <c r="F64" s="19" t="s">
        <v>142</v>
      </c>
      <c r="G64" s="19" t="s">
        <v>58</v>
      </c>
      <c r="H64" s="19">
        <v>1</v>
      </c>
      <c r="I64" s="21">
        <v>10.15</v>
      </c>
      <c r="J64" s="21">
        <v>4</v>
      </c>
      <c r="K64" s="21">
        <v>10.15</v>
      </c>
      <c r="L64" s="21">
        <v>6.15</v>
      </c>
    </row>
    <row r="65" spans="1:12" x14ac:dyDescent="0.35">
      <c r="A65" s="19" t="s">
        <v>195</v>
      </c>
      <c r="B65" s="20">
        <v>41693</v>
      </c>
      <c r="C65" s="19" t="s">
        <v>57</v>
      </c>
      <c r="D65" s="19" t="s">
        <v>66</v>
      </c>
      <c r="E65" s="19" t="s">
        <v>100</v>
      </c>
      <c r="F65" s="19" t="s">
        <v>137</v>
      </c>
      <c r="G65" s="19" t="s">
        <v>54</v>
      </c>
      <c r="H65" s="19">
        <v>3</v>
      </c>
      <c r="I65" s="21">
        <v>270.56</v>
      </c>
      <c r="J65" s="21">
        <v>180</v>
      </c>
      <c r="K65" s="21">
        <v>811.68</v>
      </c>
      <c r="L65" s="21">
        <v>271.68</v>
      </c>
    </row>
    <row r="66" spans="1:12" x14ac:dyDescent="0.35">
      <c r="A66" s="19" t="s">
        <v>196</v>
      </c>
      <c r="B66" s="20">
        <v>41695</v>
      </c>
      <c r="C66" s="19" t="s">
        <v>55</v>
      </c>
      <c r="D66" s="19" t="s">
        <v>65</v>
      </c>
      <c r="E66" s="19" t="s">
        <v>91</v>
      </c>
      <c r="F66" s="19" t="s">
        <v>125</v>
      </c>
      <c r="G66" s="19" t="s">
        <v>56</v>
      </c>
      <c r="H66" s="19">
        <v>1</v>
      </c>
      <c r="I66" s="21">
        <v>131.54</v>
      </c>
      <c r="J66" s="21">
        <v>70</v>
      </c>
      <c r="K66" s="21">
        <v>131.54</v>
      </c>
      <c r="L66" s="21">
        <v>61.54</v>
      </c>
    </row>
    <row r="67" spans="1:12" x14ac:dyDescent="0.35">
      <c r="A67" s="19" t="s">
        <v>197</v>
      </c>
      <c r="B67" s="20">
        <v>41695</v>
      </c>
      <c r="C67" s="19" t="s">
        <v>59</v>
      </c>
      <c r="D67" s="19" t="s">
        <v>61</v>
      </c>
      <c r="E67" s="19" t="s">
        <v>139</v>
      </c>
      <c r="F67" s="19" t="s">
        <v>156</v>
      </c>
      <c r="G67" s="19" t="s">
        <v>54</v>
      </c>
      <c r="H67" s="19">
        <v>2</v>
      </c>
      <c r="I67" s="21">
        <v>41.87</v>
      </c>
      <c r="J67" s="21">
        <v>18</v>
      </c>
      <c r="K67" s="21">
        <v>83.74</v>
      </c>
      <c r="L67" s="21">
        <v>47.74</v>
      </c>
    </row>
    <row r="68" spans="1:12" x14ac:dyDescent="0.35">
      <c r="A68" s="19" t="s">
        <v>198</v>
      </c>
      <c r="B68" s="20">
        <v>41696</v>
      </c>
      <c r="C68" s="19" t="s">
        <v>59</v>
      </c>
      <c r="D68" s="19" t="s">
        <v>68</v>
      </c>
      <c r="E68" s="19" t="s">
        <v>114</v>
      </c>
      <c r="F68" s="19" t="s">
        <v>140</v>
      </c>
      <c r="G68" s="19" t="s">
        <v>56</v>
      </c>
      <c r="H68" s="19">
        <v>2</v>
      </c>
      <c r="I68" s="21">
        <v>156.88</v>
      </c>
      <c r="J68" s="21">
        <v>95</v>
      </c>
      <c r="K68" s="21">
        <v>313.76</v>
      </c>
      <c r="L68" s="21">
        <v>123.76</v>
      </c>
    </row>
    <row r="69" spans="1:12" x14ac:dyDescent="0.35">
      <c r="A69" s="19" t="s">
        <v>199</v>
      </c>
      <c r="B69" s="20">
        <v>41697</v>
      </c>
      <c r="C69" s="19" t="s">
        <v>57</v>
      </c>
      <c r="D69" s="19" t="s">
        <v>66</v>
      </c>
      <c r="E69" s="19" t="s">
        <v>131</v>
      </c>
      <c r="F69" s="19" t="s">
        <v>142</v>
      </c>
      <c r="G69" s="19" t="s">
        <v>58</v>
      </c>
      <c r="H69" s="19">
        <v>1</v>
      </c>
      <c r="I69" s="21">
        <v>10.35</v>
      </c>
      <c r="J69" s="21">
        <v>4</v>
      </c>
      <c r="K69" s="21">
        <v>10.35</v>
      </c>
      <c r="L69" s="21">
        <v>6.35</v>
      </c>
    </row>
    <row r="70" spans="1:12" x14ac:dyDescent="0.35">
      <c r="A70" s="19" t="s">
        <v>200</v>
      </c>
      <c r="B70" s="20">
        <v>41697</v>
      </c>
      <c r="C70" s="19" t="s">
        <v>57</v>
      </c>
      <c r="D70" s="19" t="s">
        <v>66</v>
      </c>
      <c r="E70" s="19" t="s">
        <v>134</v>
      </c>
      <c r="F70" s="19" t="s">
        <v>142</v>
      </c>
      <c r="G70" s="19" t="s">
        <v>58</v>
      </c>
      <c r="H70" s="19">
        <v>3</v>
      </c>
      <c r="I70" s="21">
        <v>10.11</v>
      </c>
      <c r="J70" s="21">
        <v>4</v>
      </c>
      <c r="K70" s="21">
        <v>30.33</v>
      </c>
      <c r="L70" s="21">
        <v>18.329999999999998</v>
      </c>
    </row>
    <row r="71" spans="1:12" x14ac:dyDescent="0.35">
      <c r="A71" s="19" t="s">
        <v>201</v>
      </c>
      <c r="B71" s="20">
        <v>41697</v>
      </c>
      <c r="C71" s="19" t="s">
        <v>559</v>
      </c>
      <c r="D71" s="19" t="s">
        <v>67</v>
      </c>
      <c r="E71" s="19" t="s">
        <v>87</v>
      </c>
      <c r="F71" s="19" t="s">
        <v>123</v>
      </c>
      <c r="G71" s="19" t="s">
        <v>54</v>
      </c>
      <c r="H71" s="19">
        <v>3</v>
      </c>
      <c r="I71" s="21">
        <v>60.9</v>
      </c>
      <c r="J71" s="21">
        <v>28</v>
      </c>
      <c r="K71" s="21">
        <v>182.7</v>
      </c>
      <c r="L71" s="21">
        <v>98.7</v>
      </c>
    </row>
    <row r="72" spans="1:12" x14ac:dyDescent="0.35">
      <c r="A72" s="19" t="s">
        <v>202</v>
      </c>
      <c r="B72" s="20">
        <v>41698</v>
      </c>
      <c r="C72" s="19" t="s">
        <v>55</v>
      </c>
      <c r="D72" s="19" t="s">
        <v>63</v>
      </c>
      <c r="E72" s="19" t="s">
        <v>91</v>
      </c>
      <c r="F72" s="19" t="s">
        <v>115</v>
      </c>
      <c r="G72" s="19" t="s">
        <v>56</v>
      </c>
      <c r="H72" s="19">
        <v>2</v>
      </c>
      <c r="I72" s="21">
        <v>389.92</v>
      </c>
      <c r="J72" s="21">
        <v>220</v>
      </c>
      <c r="K72" s="21">
        <v>779.84</v>
      </c>
      <c r="L72" s="21">
        <v>339.84</v>
      </c>
    </row>
    <row r="73" spans="1:12" x14ac:dyDescent="0.35">
      <c r="A73" s="19" t="s">
        <v>203</v>
      </c>
      <c r="B73" s="20">
        <v>41698</v>
      </c>
      <c r="C73" s="19" t="s">
        <v>560</v>
      </c>
      <c r="D73" s="19" t="s">
        <v>66</v>
      </c>
      <c r="E73" s="19" t="s">
        <v>144</v>
      </c>
      <c r="F73" s="19" t="s">
        <v>123</v>
      </c>
      <c r="G73" s="19" t="s">
        <v>54</v>
      </c>
      <c r="H73" s="19">
        <v>2</v>
      </c>
      <c r="I73" s="21">
        <v>59.63</v>
      </c>
      <c r="J73" s="21">
        <v>28</v>
      </c>
      <c r="K73" s="21">
        <v>119.26</v>
      </c>
      <c r="L73" s="21">
        <v>63.26</v>
      </c>
    </row>
    <row r="74" spans="1:12" x14ac:dyDescent="0.35">
      <c r="A74" s="19" t="s">
        <v>204</v>
      </c>
      <c r="B74" s="20">
        <v>41698</v>
      </c>
      <c r="C74" s="19" t="s">
        <v>53</v>
      </c>
      <c r="D74" s="19" t="s">
        <v>64</v>
      </c>
      <c r="E74" s="19" t="s">
        <v>134</v>
      </c>
      <c r="F74" s="19" t="s">
        <v>125</v>
      </c>
      <c r="G74" s="19" t="s">
        <v>56</v>
      </c>
      <c r="H74" s="19">
        <v>5</v>
      </c>
      <c r="I74" s="21">
        <v>132.63</v>
      </c>
      <c r="J74" s="21">
        <v>70</v>
      </c>
      <c r="L74" s="21">
        <v>313.14999999999998</v>
      </c>
    </row>
    <row r="75" spans="1:12" x14ac:dyDescent="0.35">
      <c r="A75" s="19" t="s">
        <v>205</v>
      </c>
      <c r="B75" s="20">
        <v>41699</v>
      </c>
      <c r="C75" s="19" t="s">
        <v>59</v>
      </c>
      <c r="D75" s="19" t="s">
        <v>61</v>
      </c>
      <c r="E75" s="19" t="s">
        <v>150</v>
      </c>
      <c r="F75" s="19" t="s">
        <v>125</v>
      </c>
      <c r="G75" s="19" t="s">
        <v>56</v>
      </c>
      <c r="H75" s="19">
        <v>1</v>
      </c>
      <c r="I75" s="21">
        <v>160.53</v>
      </c>
      <c r="J75" s="21">
        <v>70</v>
      </c>
      <c r="K75" s="21">
        <v>160.53</v>
      </c>
    </row>
    <row r="76" spans="1:12" x14ac:dyDescent="0.35">
      <c r="A76" s="19" t="s">
        <v>206</v>
      </c>
      <c r="B76" s="20">
        <v>41700</v>
      </c>
      <c r="C76" s="19" t="s">
        <v>55</v>
      </c>
      <c r="D76" s="19" t="s">
        <v>63</v>
      </c>
      <c r="E76" s="19" t="s">
        <v>89</v>
      </c>
      <c r="F76" s="19" t="s">
        <v>118</v>
      </c>
      <c r="G76" s="19" t="s">
        <v>54</v>
      </c>
      <c r="H76" s="19">
        <v>2</v>
      </c>
      <c r="I76" s="21">
        <v>27.65</v>
      </c>
      <c r="J76" s="21">
        <v>12</v>
      </c>
      <c r="K76" s="21">
        <v>55.3</v>
      </c>
      <c r="L76" s="21">
        <v>31.3</v>
      </c>
    </row>
    <row r="77" spans="1:12" x14ac:dyDescent="0.35">
      <c r="A77" s="19" t="s">
        <v>207</v>
      </c>
      <c r="B77" s="20">
        <v>41702</v>
      </c>
      <c r="C77" s="19" t="s">
        <v>59</v>
      </c>
      <c r="D77" s="19" t="s">
        <v>63</v>
      </c>
      <c r="E77" s="19" t="s">
        <v>91</v>
      </c>
      <c r="F77" s="19" t="s">
        <v>125</v>
      </c>
      <c r="G77" s="19" t="s">
        <v>56</v>
      </c>
      <c r="H77" s="19">
        <v>5</v>
      </c>
      <c r="I77" s="21">
        <v>160.52000000000001</v>
      </c>
      <c r="J77" s="21">
        <v>70</v>
      </c>
      <c r="K77" s="21">
        <v>802.6</v>
      </c>
      <c r="L77" s="21">
        <v>452.6</v>
      </c>
    </row>
    <row r="78" spans="1:12" x14ac:dyDescent="0.35">
      <c r="A78" s="19" t="s">
        <v>208</v>
      </c>
      <c r="B78" s="20">
        <v>41702</v>
      </c>
      <c r="C78" s="19" t="s">
        <v>59</v>
      </c>
      <c r="D78" s="19" t="s">
        <v>68</v>
      </c>
      <c r="E78" s="19" t="s">
        <v>87</v>
      </c>
      <c r="F78" s="19" t="s">
        <v>137</v>
      </c>
      <c r="G78" s="19" t="s">
        <v>54</v>
      </c>
      <c r="H78" s="19">
        <v>5</v>
      </c>
      <c r="I78" s="21">
        <v>339.02</v>
      </c>
      <c r="J78" s="21">
        <v>180</v>
      </c>
      <c r="K78" s="21">
        <v>1695.1</v>
      </c>
      <c r="L78" s="21">
        <v>795.1</v>
      </c>
    </row>
    <row r="79" spans="1:12" x14ac:dyDescent="0.35">
      <c r="A79" s="19" t="s">
        <v>209</v>
      </c>
      <c r="B79" s="20">
        <v>41706</v>
      </c>
      <c r="C79" s="19" t="s">
        <v>59</v>
      </c>
      <c r="D79" s="19" t="s">
        <v>68</v>
      </c>
      <c r="E79" s="19" t="s">
        <v>117</v>
      </c>
      <c r="F79" s="19" t="s">
        <v>125</v>
      </c>
      <c r="G79" s="19" t="s">
        <v>56</v>
      </c>
      <c r="H79" s="19">
        <v>2</v>
      </c>
      <c r="I79" s="21">
        <v>161.66999999999999</v>
      </c>
      <c r="J79" s="21">
        <v>70</v>
      </c>
      <c r="K79" s="21">
        <v>323.33999999999997</v>
      </c>
      <c r="L79" s="21">
        <v>183.34</v>
      </c>
    </row>
    <row r="80" spans="1:12" x14ac:dyDescent="0.35">
      <c r="A80" s="19" t="s">
        <v>210</v>
      </c>
      <c r="B80" s="20">
        <v>41707</v>
      </c>
      <c r="C80" s="19" t="s">
        <v>53</v>
      </c>
      <c r="D80" s="19" t="s">
        <v>64</v>
      </c>
      <c r="E80" s="19" t="s">
        <v>153</v>
      </c>
      <c r="F80" s="19" t="s">
        <v>118</v>
      </c>
      <c r="G80" s="19" t="s">
        <v>54</v>
      </c>
      <c r="H80" s="19">
        <v>1</v>
      </c>
      <c r="I80" s="21">
        <v>29.35</v>
      </c>
      <c r="J80" s="21">
        <v>12</v>
      </c>
      <c r="K80" s="21">
        <v>29.35</v>
      </c>
      <c r="L80" s="21">
        <v>17.350000000000001</v>
      </c>
    </row>
    <row r="81" spans="1:12" x14ac:dyDescent="0.35">
      <c r="A81" s="19" t="s">
        <v>211</v>
      </c>
      <c r="B81" s="20">
        <v>41707</v>
      </c>
      <c r="C81" s="19" t="s">
        <v>59</v>
      </c>
      <c r="D81" s="19" t="s">
        <v>61</v>
      </c>
      <c r="E81" s="19" t="s">
        <v>89</v>
      </c>
      <c r="F81" s="19" t="s">
        <v>156</v>
      </c>
      <c r="G81" s="19" t="s">
        <v>54</v>
      </c>
      <c r="H81" s="19">
        <v>1</v>
      </c>
      <c r="I81" s="21">
        <v>50.49</v>
      </c>
      <c r="J81" s="21">
        <v>18</v>
      </c>
      <c r="K81" s="21">
        <v>50.49</v>
      </c>
      <c r="L81" s="21">
        <v>32.49</v>
      </c>
    </row>
    <row r="82" spans="1:12" x14ac:dyDescent="0.35">
      <c r="A82" s="19" t="s">
        <v>212</v>
      </c>
      <c r="B82" s="20">
        <v>41708</v>
      </c>
      <c r="C82" s="19" t="s">
        <v>53</v>
      </c>
      <c r="D82" s="19" t="s">
        <v>61</v>
      </c>
      <c r="E82" s="19" t="s">
        <v>98</v>
      </c>
      <c r="F82" s="19" t="s">
        <v>115</v>
      </c>
      <c r="G82" s="19" t="s">
        <v>56</v>
      </c>
      <c r="H82" s="19">
        <v>2</v>
      </c>
      <c r="I82" s="21">
        <v>458.99</v>
      </c>
      <c r="J82" s="21">
        <v>220</v>
      </c>
      <c r="K82" s="21">
        <v>917.98</v>
      </c>
      <c r="L82" s="21">
        <v>477.98</v>
      </c>
    </row>
    <row r="83" spans="1:12" x14ac:dyDescent="0.35">
      <c r="A83" s="19" t="s">
        <v>213</v>
      </c>
      <c r="B83" s="20">
        <v>41709</v>
      </c>
      <c r="C83" s="19" t="s">
        <v>57</v>
      </c>
      <c r="D83" s="19" t="s">
        <v>62</v>
      </c>
      <c r="E83" s="19" t="s">
        <v>153</v>
      </c>
      <c r="F83" s="19" t="s">
        <v>128</v>
      </c>
      <c r="G83" s="19" t="s">
        <v>54</v>
      </c>
      <c r="H83" s="19">
        <v>5</v>
      </c>
      <c r="I83" s="21">
        <v>91.76</v>
      </c>
      <c r="J83" s="21">
        <v>40</v>
      </c>
      <c r="K83" s="21">
        <v>458.8</v>
      </c>
    </row>
    <row r="84" spans="1:12" x14ac:dyDescent="0.35">
      <c r="A84" s="19" t="s">
        <v>214</v>
      </c>
      <c r="B84" s="20">
        <v>41710</v>
      </c>
      <c r="C84" s="19" t="s">
        <v>57</v>
      </c>
      <c r="D84" s="19" t="s">
        <v>66</v>
      </c>
      <c r="E84" s="19" t="s">
        <v>91</v>
      </c>
      <c r="F84" s="19" t="s">
        <v>142</v>
      </c>
      <c r="G84" s="19" t="s">
        <v>58</v>
      </c>
      <c r="H84" s="19">
        <v>1</v>
      </c>
      <c r="I84" s="21">
        <v>12.02</v>
      </c>
      <c r="J84" s="21">
        <v>4</v>
      </c>
      <c r="K84" s="21">
        <v>12.02</v>
      </c>
      <c r="L84" s="21">
        <v>8.02</v>
      </c>
    </row>
    <row r="85" spans="1:12" x14ac:dyDescent="0.35">
      <c r="A85" s="19" t="s">
        <v>215</v>
      </c>
      <c r="B85" s="20">
        <v>41710</v>
      </c>
      <c r="C85" s="19" t="s">
        <v>55</v>
      </c>
      <c r="D85" s="19" t="s">
        <v>65</v>
      </c>
      <c r="E85" s="19" t="s">
        <v>98</v>
      </c>
      <c r="F85" s="19" t="s">
        <v>128</v>
      </c>
      <c r="G85" s="19" t="s">
        <v>54</v>
      </c>
      <c r="H85" s="19">
        <v>1</v>
      </c>
      <c r="I85" s="21">
        <v>92.23</v>
      </c>
      <c r="J85" s="21">
        <v>40</v>
      </c>
      <c r="K85" s="21">
        <v>92.23</v>
      </c>
      <c r="L85" s="21">
        <v>52.23</v>
      </c>
    </row>
    <row r="86" spans="1:12" x14ac:dyDescent="0.35">
      <c r="A86" s="19" t="s">
        <v>216</v>
      </c>
      <c r="B86" s="20">
        <v>41711</v>
      </c>
      <c r="C86" s="19" t="s">
        <v>55</v>
      </c>
      <c r="D86" s="19" t="s">
        <v>63</v>
      </c>
      <c r="E86" s="19" t="s">
        <v>117</v>
      </c>
      <c r="F86" s="19" t="s">
        <v>140</v>
      </c>
      <c r="G86" s="19" t="s">
        <v>56</v>
      </c>
      <c r="H86" s="19">
        <v>1</v>
      </c>
      <c r="I86" s="21">
        <v>184</v>
      </c>
      <c r="J86" s="21">
        <v>95</v>
      </c>
      <c r="K86" s="21">
        <v>184</v>
      </c>
      <c r="L86" s="21">
        <v>89</v>
      </c>
    </row>
    <row r="87" spans="1:12" x14ac:dyDescent="0.35">
      <c r="A87" s="19" t="s">
        <v>217</v>
      </c>
      <c r="B87" s="20">
        <v>41711</v>
      </c>
      <c r="C87" s="19" t="s">
        <v>55</v>
      </c>
      <c r="D87" s="19" t="s">
        <v>65</v>
      </c>
      <c r="E87" s="19" t="s">
        <v>164</v>
      </c>
      <c r="F87" s="19" t="s">
        <v>156</v>
      </c>
      <c r="G87" s="19" t="s">
        <v>54</v>
      </c>
      <c r="H87" s="19">
        <v>2</v>
      </c>
      <c r="I87" s="21">
        <v>49.49</v>
      </c>
      <c r="J87" s="21">
        <v>18</v>
      </c>
      <c r="K87" s="21">
        <v>98.98</v>
      </c>
      <c r="L87" s="21">
        <v>62.98</v>
      </c>
    </row>
    <row r="88" spans="1:12" x14ac:dyDescent="0.35">
      <c r="A88" s="19" t="s">
        <v>218</v>
      </c>
      <c r="B88" s="20">
        <v>41712</v>
      </c>
      <c r="C88" s="19" t="s">
        <v>55</v>
      </c>
      <c r="D88" s="19" t="s">
        <v>64</v>
      </c>
      <c r="E88" s="19" t="s">
        <v>153</v>
      </c>
      <c r="F88" s="19" t="s">
        <v>125</v>
      </c>
      <c r="G88" s="19" t="s">
        <v>56</v>
      </c>
      <c r="H88" s="19">
        <v>2</v>
      </c>
      <c r="I88" s="21">
        <v>165.29</v>
      </c>
      <c r="J88" s="21">
        <v>70</v>
      </c>
      <c r="K88" s="21">
        <v>330.58</v>
      </c>
      <c r="L88" s="21">
        <v>190.58</v>
      </c>
    </row>
    <row r="89" spans="1:12" x14ac:dyDescent="0.35">
      <c r="A89" s="19" t="s">
        <v>219</v>
      </c>
      <c r="B89" s="20">
        <v>41714</v>
      </c>
      <c r="C89" s="19" t="s">
        <v>59</v>
      </c>
      <c r="D89" s="19" t="s">
        <v>61</v>
      </c>
      <c r="E89" s="19" t="s">
        <v>114</v>
      </c>
      <c r="F89" s="19" t="s">
        <v>115</v>
      </c>
      <c r="G89" s="19" t="s">
        <v>56</v>
      </c>
      <c r="H89" s="19">
        <v>1</v>
      </c>
      <c r="I89" s="21">
        <v>465.45</v>
      </c>
      <c r="J89" s="21">
        <v>220</v>
      </c>
      <c r="K89" s="21">
        <v>465.45</v>
      </c>
      <c r="L89" s="21">
        <v>245.45</v>
      </c>
    </row>
    <row r="90" spans="1:12" x14ac:dyDescent="0.35">
      <c r="A90" s="19" t="s">
        <v>220</v>
      </c>
      <c r="B90" s="20">
        <v>41714</v>
      </c>
      <c r="C90" s="19" t="s">
        <v>53</v>
      </c>
      <c r="D90" s="19" t="s">
        <v>67</v>
      </c>
      <c r="E90" s="19" t="s">
        <v>117</v>
      </c>
      <c r="F90" s="19" t="s">
        <v>142</v>
      </c>
      <c r="G90" s="19" t="s">
        <v>58</v>
      </c>
      <c r="H90" s="19">
        <v>3</v>
      </c>
      <c r="I90" s="21">
        <v>12.08</v>
      </c>
      <c r="J90" s="21">
        <v>4</v>
      </c>
      <c r="K90" s="21">
        <v>36.24</v>
      </c>
      <c r="L90" s="21">
        <v>24.24</v>
      </c>
    </row>
    <row r="91" spans="1:12" x14ac:dyDescent="0.35">
      <c r="A91" s="19" t="s">
        <v>221</v>
      </c>
      <c r="B91" s="20">
        <v>41716</v>
      </c>
      <c r="C91" s="19" t="s">
        <v>53</v>
      </c>
      <c r="D91" s="19" t="s">
        <v>64</v>
      </c>
      <c r="E91" s="19" t="s">
        <v>114</v>
      </c>
      <c r="F91" s="19" t="s">
        <v>125</v>
      </c>
      <c r="G91" s="19" t="s">
        <v>56</v>
      </c>
      <c r="H91" s="19">
        <v>2</v>
      </c>
      <c r="I91" s="21">
        <v>164.55</v>
      </c>
      <c r="J91" s="21">
        <v>70</v>
      </c>
      <c r="K91" s="21">
        <v>329.1</v>
      </c>
      <c r="L91" s="21">
        <v>189.1</v>
      </c>
    </row>
    <row r="92" spans="1:12" x14ac:dyDescent="0.35">
      <c r="A92" s="19" t="s">
        <v>222</v>
      </c>
      <c r="B92" s="20">
        <v>41716</v>
      </c>
      <c r="C92" s="19" t="s">
        <v>59</v>
      </c>
      <c r="D92" s="19" t="s">
        <v>61</v>
      </c>
      <c r="E92" s="19" t="s">
        <v>131</v>
      </c>
      <c r="F92" s="19" t="s">
        <v>140</v>
      </c>
      <c r="G92" s="19" t="s">
        <v>56</v>
      </c>
      <c r="H92" s="19">
        <v>2</v>
      </c>
      <c r="I92" s="21">
        <v>196.82</v>
      </c>
      <c r="J92" s="21">
        <v>95</v>
      </c>
      <c r="K92" s="21">
        <v>393.64</v>
      </c>
      <c r="L92" s="21">
        <v>203.64</v>
      </c>
    </row>
    <row r="93" spans="1:12" x14ac:dyDescent="0.35">
      <c r="A93" s="19" t="s">
        <v>223</v>
      </c>
      <c r="B93" s="20">
        <v>41717</v>
      </c>
      <c r="C93" s="19" t="s">
        <v>53</v>
      </c>
      <c r="D93" s="19" t="s">
        <v>67</v>
      </c>
      <c r="E93" s="19" t="s">
        <v>114</v>
      </c>
      <c r="F93" s="19" t="s">
        <v>137</v>
      </c>
      <c r="G93" s="19" t="s">
        <v>54</v>
      </c>
      <c r="H93" s="19">
        <v>5</v>
      </c>
      <c r="I93" s="21">
        <v>315.32</v>
      </c>
      <c r="J93" s="21">
        <v>180</v>
      </c>
      <c r="K93" s="21">
        <v>1576.6</v>
      </c>
      <c r="L93" s="21">
        <v>676.6</v>
      </c>
    </row>
    <row r="94" spans="1:12" x14ac:dyDescent="0.35">
      <c r="A94" s="19" t="s">
        <v>224</v>
      </c>
      <c r="B94" s="20">
        <v>41720</v>
      </c>
      <c r="C94" s="19" t="s">
        <v>53</v>
      </c>
      <c r="D94" s="19" t="s">
        <v>67</v>
      </c>
      <c r="E94" s="19" t="s">
        <v>144</v>
      </c>
      <c r="F94" s="19" t="s">
        <v>128</v>
      </c>
      <c r="G94" s="19" t="s">
        <v>54</v>
      </c>
      <c r="H94" s="19">
        <v>3</v>
      </c>
      <c r="I94" s="21">
        <v>88.87</v>
      </c>
      <c r="J94" s="21">
        <v>40</v>
      </c>
      <c r="K94" s="21">
        <v>266.61</v>
      </c>
      <c r="L94" s="21">
        <v>146.61000000000001</v>
      </c>
    </row>
    <row r="95" spans="1:12" x14ac:dyDescent="0.35">
      <c r="A95" s="19" t="s">
        <v>225</v>
      </c>
      <c r="B95" s="20">
        <v>41720</v>
      </c>
      <c r="C95" s="19" t="s">
        <v>55</v>
      </c>
      <c r="D95" s="19" t="s">
        <v>63</v>
      </c>
      <c r="E95" s="19" t="s">
        <v>131</v>
      </c>
      <c r="F95" s="19" t="s">
        <v>115</v>
      </c>
      <c r="G95" s="19" t="s">
        <v>56</v>
      </c>
      <c r="H95" s="19">
        <v>1</v>
      </c>
      <c r="I95" s="21">
        <v>448.62</v>
      </c>
      <c r="J95" s="21">
        <v>220</v>
      </c>
      <c r="K95" s="21">
        <v>448.62</v>
      </c>
    </row>
    <row r="96" spans="1:12" x14ac:dyDescent="0.35">
      <c r="A96" s="19" t="s">
        <v>226</v>
      </c>
      <c r="B96" s="20">
        <v>41721</v>
      </c>
      <c r="C96" s="19" t="s">
        <v>57</v>
      </c>
      <c r="D96" s="19" t="s">
        <v>62</v>
      </c>
      <c r="E96" s="19" t="s">
        <v>117</v>
      </c>
      <c r="F96" s="19" t="s">
        <v>142</v>
      </c>
      <c r="G96" s="19" t="s">
        <v>58</v>
      </c>
      <c r="H96" s="19">
        <v>2</v>
      </c>
      <c r="I96" s="21">
        <v>12.86</v>
      </c>
      <c r="J96" s="21">
        <v>4</v>
      </c>
      <c r="K96" s="21">
        <v>25.72</v>
      </c>
    </row>
    <row r="97" spans="1:12" x14ac:dyDescent="0.35">
      <c r="A97" s="19" t="s">
        <v>227</v>
      </c>
      <c r="B97" s="20">
        <v>41721</v>
      </c>
      <c r="C97" s="19" t="s">
        <v>57</v>
      </c>
      <c r="D97" s="19" t="s">
        <v>561</v>
      </c>
      <c r="E97" s="19" t="s">
        <v>100</v>
      </c>
      <c r="F97" s="19" t="s">
        <v>132</v>
      </c>
      <c r="G97" s="19" t="s">
        <v>56</v>
      </c>
      <c r="H97" s="19">
        <v>1</v>
      </c>
      <c r="I97" s="21">
        <v>40.369999999999997</v>
      </c>
      <c r="J97" s="21">
        <v>15</v>
      </c>
      <c r="K97" s="21">
        <v>40.369999999999997</v>
      </c>
      <c r="L97" s="21">
        <v>25.37</v>
      </c>
    </row>
    <row r="98" spans="1:12" x14ac:dyDescent="0.35">
      <c r="A98" s="19" t="s">
        <v>228</v>
      </c>
      <c r="B98" s="20">
        <v>41722</v>
      </c>
      <c r="C98" s="19" t="s">
        <v>57</v>
      </c>
      <c r="D98" s="19" t="s">
        <v>66</v>
      </c>
      <c r="E98" s="19" t="s">
        <v>134</v>
      </c>
      <c r="F98" s="19" t="s">
        <v>142</v>
      </c>
      <c r="G98" s="19" t="s">
        <v>58</v>
      </c>
      <c r="H98" s="19">
        <v>3</v>
      </c>
      <c r="I98" s="21">
        <v>12.38</v>
      </c>
      <c r="J98" s="21">
        <v>4</v>
      </c>
      <c r="K98" s="21">
        <v>37.14</v>
      </c>
      <c r="L98" s="21">
        <v>25.14</v>
      </c>
    </row>
    <row r="99" spans="1:12" x14ac:dyDescent="0.35">
      <c r="A99" s="19" t="s">
        <v>229</v>
      </c>
      <c r="B99" s="20">
        <v>41722</v>
      </c>
      <c r="C99" s="19" t="s">
        <v>57</v>
      </c>
      <c r="D99" s="19" t="s">
        <v>66</v>
      </c>
      <c r="E99" s="19" t="s">
        <v>117</v>
      </c>
      <c r="F99" s="19" t="s">
        <v>137</v>
      </c>
      <c r="G99" s="19" t="s">
        <v>54</v>
      </c>
      <c r="H99" s="19">
        <v>4</v>
      </c>
      <c r="I99" s="21">
        <v>329.62</v>
      </c>
      <c r="J99" s="21">
        <v>180</v>
      </c>
      <c r="K99" s="21">
        <v>1318.48</v>
      </c>
      <c r="L99" s="21">
        <v>598.48</v>
      </c>
    </row>
    <row r="100" spans="1:12" x14ac:dyDescent="0.35">
      <c r="A100" s="19" t="s">
        <v>230</v>
      </c>
      <c r="B100" s="20">
        <v>41723</v>
      </c>
      <c r="C100" s="19" t="s">
        <v>59</v>
      </c>
      <c r="D100" s="19" t="s">
        <v>61</v>
      </c>
      <c r="E100" s="19" t="s">
        <v>89</v>
      </c>
      <c r="F100" s="19" t="s">
        <v>115</v>
      </c>
      <c r="G100" s="19" t="s">
        <v>56</v>
      </c>
      <c r="H100" s="19">
        <v>3</v>
      </c>
      <c r="I100" s="21">
        <v>441.47</v>
      </c>
      <c r="J100" s="21">
        <v>220</v>
      </c>
      <c r="K100" s="21">
        <v>1324.41</v>
      </c>
      <c r="L100" s="21">
        <v>664.41</v>
      </c>
    </row>
    <row r="101" spans="1:12" x14ac:dyDescent="0.35">
      <c r="A101" s="19" t="s">
        <v>231</v>
      </c>
      <c r="B101" s="20">
        <v>41724</v>
      </c>
      <c r="C101" s="19" t="s">
        <v>57</v>
      </c>
      <c r="D101" s="19" t="s">
        <v>63</v>
      </c>
      <c r="E101" s="19" t="s">
        <v>91</v>
      </c>
      <c r="F101" s="19" t="s">
        <v>156</v>
      </c>
      <c r="G101" s="19" t="s">
        <v>54</v>
      </c>
      <c r="H101" s="19">
        <v>5</v>
      </c>
      <c r="I101" s="21">
        <v>49.54</v>
      </c>
      <c r="J101" s="21">
        <v>18</v>
      </c>
      <c r="K101" s="21">
        <v>247.7</v>
      </c>
      <c r="L101" s="21">
        <v>157.69999999999999</v>
      </c>
    </row>
    <row r="102" spans="1:12" x14ac:dyDescent="0.35">
      <c r="A102" s="19" t="s">
        <v>232</v>
      </c>
      <c r="B102" s="20">
        <v>41724</v>
      </c>
      <c r="C102" s="19" t="s">
        <v>59</v>
      </c>
      <c r="D102" s="19" t="s">
        <v>61</v>
      </c>
      <c r="E102" s="19" t="s">
        <v>131</v>
      </c>
      <c r="F102" s="19" t="s">
        <v>156</v>
      </c>
      <c r="G102" s="19" t="s">
        <v>54</v>
      </c>
      <c r="H102" s="19">
        <v>3</v>
      </c>
      <c r="I102" s="21">
        <v>49.34</v>
      </c>
      <c r="J102" s="21">
        <v>18</v>
      </c>
      <c r="K102" s="21">
        <v>148.02000000000001</v>
      </c>
      <c r="L102" s="21">
        <v>94.02</v>
      </c>
    </row>
    <row r="103" spans="1:12" x14ac:dyDescent="0.35">
      <c r="A103" s="19" t="s">
        <v>233</v>
      </c>
      <c r="B103" s="20">
        <v>41725</v>
      </c>
      <c r="C103" s="19" t="s">
        <v>57</v>
      </c>
      <c r="D103" s="19" t="s">
        <v>62</v>
      </c>
      <c r="E103" s="19" t="s">
        <v>114</v>
      </c>
      <c r="F103" s="19" t="s">
        <v>156</v>
      </c>
      <c r="G103" s="19" t="s">
        <v>54</v>
      </c>
      <c r="H103" s="19">
        <v>1</v>
      </c>
      <c r="I103" s="21">
        <v>47.9</v>
      </c>
      <c r="J103" s="21">
        <v>18</v>
      </c>
      <c r="K103" s="21">
        <v>47.9</v>
      </c>
      <c r="L103" s="21">
        <v>29.9</v>
      </c>
    </row>
    <row r="104" spans="1:12" x14ac:dyDescent="0.35">
      <c r="A104" s="19" t="s">
        <v>234</v>
      </c>
      <c r="B104" s="20">
        <v>41725</v>
      </c>
      <c r="C104" s="19" t="s">
        <v>57</v>
      </c>
      <c r="D104" s="19" t="s">
        <v>66</v>
      </c>
      <c r="E104" s="19" t="s">
        <v>139</v>
      </c>
      <c r="F104" s="19" t="s">
        <v>118</v>
      </c>
      <c r="G104" s="19" t="s">
        <v>54</v>
      </c>
      <c r="H104" s="19">
        <v>3</v>
      </c>
      <c r="I104" s="21">
        <v>27.64</v>
      </c>
      <c r="J104" s="21">
        <v>12</v>
      </c>
      <c r="K104" s="21">
        <v>82.92</v>
      </c>
      <c r="L104" s="21">
        <v>46.92</v>
      </c>
    </row>
    <row r="105" spans="1:12" x14ac:dyDescent="0.35">
      <c r="A105" s="19" t="s">
        <v>235</v>
      </c>
      <c r="B105" s="20">
        <v>41725</v>
      </c>
      <c r="C105" s="19" t="s">
        <v>59</v>
      </c>
      <c r="D105" s="19" t="s">
        <v>68</v>
      </c>
      <c r="E105" s="19" t="s">
        <v>87</v>
      </c>
      <c r="F105" s="19" t="s">
        <v>137</v>
      </c>
      <c r="G105" s="19" t="s">
        <v>54</v>
      </c>
      <c r="H105" s="19">
        <v>2</v>
      </c>
      <c r="I105" s="21">
        <v>315.89</v>
      </c>
      <c r="J105" s="21">
        <v>180</v>
      </c>
      <c r="K105" s="21">
        <v>631.78</v>
      </c>
      <c r="L105" s="21">
        <v>271.77999999999997</v>
      </c>
    </row>
    <row r="106" spans="1:12" x14ac:dyDescent="0.35">
      <c r="A106" s="19" t="s">
        <v>236</v>
      </c>
      <c r="B106" s="20">
        <v>41728</v>
      </c>
      <c r="C106" s="19" t="s">
        <v>53</v>
      </c>
      <c r="D106" s="19" t="s">
        <v>64</v>
      </c>
      <c r="E106" s="19" t="s">
        <v>98</v>
      </c>
      <c r="F106" s="19" t="s">
        <v>123</v>
      </c>
      <c r="G106" s="19" t="s">
        <v>54</v>
      </c>
      <c r="H106" s="19">
        <v>3</v>
      </c>
      <c r="I106" s="21">
        <v>68.319999999999993</v>
      </c>
      <c r="J106" s="21">
        <v>28</v>
      </c>
      <c r="K106" s="21">
        <v>204.96</v>
      </c>
      <c r="L106" s="21">
        <v>120.96</v>
      </c>
    </row>
    <row r="107" spans="1:12" x14ac:dyDescent="0.35">
      <c r="A107" s="19" t="s">
        <v>237</v>
      </c>
      <c r="B107" s="20">
        <v>41729</v>
      </c>
      <c r="C107" s="19" t="s">
        <v>53</v>
      </c>
      <c r="D107" s="19" t="s">
        <v>64</v>
      </c>
      <c r="E107" s="19" t="s">
        <v>131</v>
      </c>
      <c r="F107" s="19" t="s">
        <v>140</v>
      </c>
      <c r="G107" s="19" t="s">
        <v>56</v>
      </c>
      <c r="H107" s="19">
        <v>1</v>
      </c>
      <c r="I107" s="21">
        <v>183.52</v>
      </c>
      <c r="J107" s="21">
        <v>95</v>
      </c>
      <c r="K107" s="21">
        <v>183.52</v>
      </c>
      <c r="L107" s="21">
        <v>88.52</v>
      </c>
    </row>
    <row r="108" spans="1:12" x14ac:dyDescent="0.35">
      <c r="A108" s="19" t="s">
        <v>238</v>
      </c>
      <c r="B108" s="20">
        <v>41729</v>
      </c>
      <c r="C108" s="19" t="s">
        <v>57</v>
      </c>
      <c r="D108" s="19" t="s">
        <v>65</v>
      </c>
      <c r="E108" s="19" t="s">
        <v>100</v>
      </c>
      <c r="F108" s="19" t="s">
        <v>125</v>
      </c>
      <c r="G108" s="19" t="s">
        <v>56</v>
      </c>
      <c r="H108" s="19">
        <v>4</v>
      </c>
      <c r="I108" s="21">
        <v>164.25</v>
      </c>
      <c r="J108" s="21">
        <v>70</v>
      </c>
      <c r="K108" s="21">
        <v>657</v>
      </c>
      <c r="L108" s="21">
        <v>377</v>
      </c>
    </row>
    <row r="109" spans="1:12" x14ac:dyDescent="0.35">
      <c r="A109" s="19" t="s">
        <v>239</v>
      </c>
      <c r="B109" s="20">
        <v>41729</v>
      </c>
      <c r="C109" s="19" t="s">
        <v>59</v>
      </c>
      <c r="D109" s="19" t="s">
        <v>68</v>
      </c>
      <c r="E109" s="19" t="s">
        <v>89</v>
      </c>
      <c r="F109" s="19" t="s">
        <v>137</v>
      </c>
      <c r="G109" s="19" t="s">
        <v>54</v>
      </c>
      <c r="H109" s="19">
        <v>4</v>
      </c>
      <c r="I109" s="21">
        <v>334.64</v>
      </c>
      <c r="J109" s="21">
        <v>180</v>
      </c>
      <c r="K109" s="21">
        <v>1338.56</v>
      </c>
      <c r="L109" s="21">
        <v>618.55999999999995</v>
      </c>
    </row>
    <row r="110" spans="1:12" x14ac:dyDescent="0.35">
      <c r="A110" s="19" t="s">
        <v>240</v>
      </c>
      <c r="B110" s="20">
        <v>41729</v>
      </c>
      <c r="C110" s="19" t="s">
        <v>55</v>
      </c>
      <c r="D110" s="19" t="s">
        <v>62</v>
      </c>
      <c r="E110" s="19" t="s">
        <v>139</v>
      </c>
      <c r="F110" s="19" t="s">
        <v>140</v>
      </c>
      <c r="G110" s="19" t="s">
        <v>56</v>
      </c>
      <c r="H110" s="19">
        <v>1</v>
      </c>
      <c r="I110" s="21">
        <v>197.56</v>
      </c>
      <c r="J110" s="21">
        <v>95</v>
      </c>
      <c r="K110" s="21">
        <v>197.56</v>
      </c>
      <c r="L110" s="21">
        <v>102.56</v>
      </c>
    </row>
    <row r="111" spans="1:12" x14ac:dyDescent="0.35">
      <c r="A111" s="19" t="s">
        <v>241</v>
      </c>
      <c r="B111" s="20">
        <v>41729</v>
      </c>
      <c r="C111" s="19" t="s">
        <v>59</v>
      </c>
      <c r="D111" s="19" t="s">
        <v>68</v>
      </c>
      <c r="E111" s="19" t="s">
        <v>139</v>
      </c>
      <c r="F111" s="19" t="s">
        <v>142</v>
      </c>
      <c r="G111" s="19" t="s">
        <v>58</v>
      </c>
      <c r="H111" s="19">
        <v>1</v>
      </c>
      <c r="I111" s="21">
        <v>12.79</v>
      </c>
      <c r="J111" s="21">
        <v>4</v>
      </c>
      <c r="K111" s="21">
        <v>12.79</v>
      </c>
      <c r="L111" s="21">
        <v>8.7899999999999991</v>
      </c>
    </row>
    <row r="112" spans="1:12" x14ac:dyDescent="0.35">
      <c r="A112" s="19" t="s">
        <v>242</v>
      </c>
      <c r="B112" s="20">
        <v>41730</v>
      </c>
      <c r="C112" s="19" t="s">
        <v>57</v>
      </c>
      <c r="D112" s="19" t="s">
        <v>66</v>
      </c>
      <c r="E112" s="19" t="s">
        <v>89</v>
      </c>
      <c r="F112" s="19" t="s">
        <v>128</v>
      </c>
      <c r="G112" s="19" t="s">
        <v>54</v>
      </c>
      <c r="H112" s="19">
        <v>1</v>
      </c>
      <c r="I112" s="21">
        <v>77.63</v>
      </c>
      <c r="J112" s="21">
        <v>40</v>
      </c>
      <c r="K112" s="21">
        <v>77.63</v>
      </c>
      <c r="L112" s="21">
        <v>37.630000000000003</v>
      </c>
    </row>
    <row r="113" spans="1:12" x14ac:dyDescent="0.35">
      <c r="A113" s="19" t="s">
        <v>243</v>
      </c>
      <c r="B113" s="20">
        <v>41730</v>
      </c>
      <c r="C113" s="19" t="s">
        <v>59</v>
      </c>
      <c r="D113" s="19" t="s">
        <v>61</v>
      </c>
      <c r="E113" s="19" t="s">
        <v>150</v>
      </c>
      <c r="F113" s="19" t="s">
        <v>118</v>
      </c>
      <c r="G113" s="19" t="s">
        <v>54</v>
      </c>
      <c r="H113" s="19">
        <v>1</v>
      </c>
      <c r="I113" s="21">
        <v>24.9</v>
      </c>
      <c r="J113" s="21">
        <v>12</v>
      </c>
      <c r="K113" s="21">
        <v>24.9</v>
      </c>
      <c r="L113" s="21">
        <v>12.9</v>
      </c>
    </row>
    <row r="114" spans="1:12" x14ac:dyDescent="0.35">
      <c r="A114" s="19" t="s">
        <v>244</v>
      </c>
      <c r="B114" s="20">
        <v>41732</v>
      </c>
      <c r="C114" s="19" t="s">
        <v>554</v>
      </c>
      <c r="D114" s="19" t="s">
        <v>61</v>
      </c>
      <c r="E114" s="19" t="s">
        <v>87</v>
      </c>
      <c r="F114" s="19" t="s">
        <v>118</v>
      </c>
      <c r="G114" s="19" t="s">
        <v>54</v>
      </c>
      <c r="H114" s="19">
        <v>1</v>
      </c>
      <c r="I114" s="21">
        <v>24.98</v>
      </c>
      <c r="J114" s="21">
        <v>12</v>
      </c>
      <c r="K114" s="21">
        <v>24.98</v>
      </c>
      <c r="L114" s="21">
        <v>12.98</v>
      </c>
    </row>
    <row r="115" spans="1:12" x14ac:dyDescent="0.35">
      <c r="A115" s="19" t="s">
        <v>245</v>
      </c>
      <c r="B115" s="20">
        <v>41732</v>
      </c>
      <c r="C115" s="19" t="s">
        <v>53</v>
      </c>
      <c r="D115" s="19" t="s">
        <v>64</v>
      </c>
      <c r="E115" s="19" t="s">
        <v>164</v>
      </c>
      <c r="F115" s="19" t="s">
        <v>137</v>
      </c>
      <c r="G115" s="19" t="s">
        <v>54</v>
      </c>
      <c r="H115" s="19">
        <v>3</v>
      </c>
      <c r="I115" s="21">
        <v>274.24</v>
      </c>
      <c r="J115" s="21">
        <v>180</v>
      </c>
      <c r="K115" s="21">
        <v>822.72</v>
      </c>
    </row>
    <row r="116" spans="1:12" x14ac:dyDescent="0.35">
      <c r="A116" s="19" t="s">
        <v>246</v>
      </c>
      <c r="B116" s="20">
        <v>41734</v>
      </c>
      <c r="C116" s="19" t="s">
        <v>53</v>
      </c>
      <c r="D116" s="19" t="s">
        <v>67</v>
      </c>
      <c r="E116" s="19" t="s">
        <v>131</v>
      </c>
      <c r="F116" s="19" t="s">
        <v>118</v>
      </c>
      <c r="G116" s="19" t="s">
        <v>54</v>
      </c>
      <c r="H116" s="19">
        <v>4</v>
      </c>
      <c r="I116" s="21">
        <v>25.06</v>
      </c>
      <c r="J116" s="21">
        <v>12</v>
      </c>
      <c r="K116" s="21">
        <v>100.24</v>
      </c>
      <c r="L116" s="21">
        <v>52.24</v>
      </c>
    </row>
    <row r="117" spans="1:12" x14ac:dyDescent="0.35">
      <c r="A117" s="19" t="s">
        <v>247</v>
      </c>
      <c r="B117" s="20">
        <v>41735</v>
      </c>
      <c r="C117" s="19" t="s">
        <v>57</v>
      </c>
      <c r="D117" s="19" t="s">
        <v>62</v>
      </c>
      <c r="E117" s="19" t="s">
        <v>562</v>
      </c>
      <c r="F117" s="19" t="s">
        <v>118</v>
      </c>
      <c r="G117" s="19" t="s">
        <v>54</v>
      </c>
      <c r="H117" s="19">
        <v>5</v>
      </c>
      <c r="I117" s="21">
        <v>24.76</v>
      </c>
      <c r="J117" s="21">
        <v>12</v>
      </c>
      <c r="K117" s="21">
        <v>123.8</v>
      </c>
      <c r="L117" s="21">
        <v>63.8</v>
      </c>
    </row>
    <row r="118" spans="1:12" x14ac:dyDescent="0.35">
      <c r="A118" s="19" t="s">
        <v>248</v>
      </c>
      <c r="B118" s="20">
        <v>41735</v>
      </c>
      <c r="C118" s="19" t="s">
        <v>55</v>
      </c>
      <c r="D118" s="19" t="s">
        <v>63</v>
      </c>
      <c r="E118" s="19" t="s">
        <v>146</v>
      </c>
      <c r="F118" s="19" t="s">
        <v>125</v>
      </c>
      <c r="G118" s="19" t="s">
        <v>56</v>
      </c>
      <c r="H118" s="19">
        <v>1</v>
      </c>
      <c r="I118" s="21">
        <v>129.51</v>
      </c>
      <c r="J118" s="21">
        <v>70</v>
      </c>
      <c r="K118" s="21">
        <v>129.51</v>
      </c>
      <c r="L118" s="21">
        <v>59.51</v>
      </c>
    </row>
    <row r="119" spans="1:12" x14ac:dyDescent="0.35">
      <c r="A119" s="19" t="s">
        <v>249</v>
      </c>
      <c r="B119" s="20">
        <v>41738</v>
      </c>
      <c r="C119" s="19" t="s">
        <v>59</v>
      </c>
      <c r="D119" s="19" t="s">
        <v>61</v>
      </c>
      <c r="E119" s="19" t="s">
        <v>91</v>
      </c>
      <c r="F119" s="19" t="s">
        <v>132</v>
      </c>
      <c r="G119" s="19" t="s">
        <v>56</v>
      </c>
      <c r="H119" s="19">
        <v>3</v>
      </c>
      <c r="I119" s="21">
        <v>33.200000000000003</v>
      </c>
      <c r="J119" s="21">
        <v>15</v>
      </c>
      <c r="K119" s="21">
        <v>99.6</v>
      </c>
      <c r="L119" s="21">
        <v>54.6</v>
      </c>
    </row>
    <row r="120" spans="1:12" x14ac:dyDescent="0.35">
      <c r="A120" s="19" t="s">
        <v>250</v>
      </c>
      <c r="B120" s="20">
        <v>41741</v>
      </c>
      <c r="C120" s="19" t="s">
        <v>59</v>
      </c>
      <c r="D120" s="19" t="s">
        <v>61</v>
      </c>
      <c r="E120" s="19" t="s">
        <v>150</v>
      </c>
      <c r="F120" s="19" t="s">
        <v>125</v>
      </c>
      <c r="G120" s="19" t="s">
        <v>56</v>
      </c>
      <c r="H120" s="19">
        <v>5</v>
      </c>
      <c r="I120" s="21">
        <v>140.86000000000001</v>
      </c>
      <c r="J120" s="21">
        <v>70</v>
      </c>
      <c r="K120" s="21">
        <v>704.3</v>
      </c>
      <c r="L120" s="21">
        <v>354.3</v>
      </c>
    </row>
    <row r="121" spans="1:12" x14ac:dyDescent="0.35">
      <c r="A121" s="19" t="s">
        <v>251</v>
      </c>
      <c r="B121" s="20">
        <v>41741</v>
      </c>
      <c r="C121" s="19" t="s">
        <v>59</v>
      </c>
      <c r="D121" s="19" t="s">
        <v>61</v>
      </c>
      <c r="E121" s="19" t="s">
        <v>114</v>
      </c>
      <c r="F121" s="19" t="s">
        <v>118</v>
      </c>
      <c r="G121" s="19" t="s">
        <v>54</v>
      </c>
      <c r="H121" s="19">
        <v>1</v>
      </c>
      <c r="I121" s="21">
        <v>25.32</v>
      </c>
      <c r="J121" s="21">
        <v>12</v>
      </c>
      <c r="K121" s="21">
        <v>25.32</v>
      </c>
      <c r="L121" s="21">
        <v>13.32</v>
      </c>
    </row>
    <row r="122" spans="1:12" x14ac:dyDescent="0.35">
      <c r="A122" s="19" t="s">
        <v>252</v>
      </c>
      <c r="B122" s="20">
        <v>41742</v>
      </c>
      <c r="C122" s="19" t="s">
        <v>53</v>
      </c>
      <c r="D122" s="19" t="s">
        <v>67</v>
      </c>
      <c r="E122" s="19" t="s">
        <v>117</v>
      </c>
      <c r="F122" s="19" t="s">
        <v>115</v>
      </c>
      <c r="G122" s="19" t="s">
        <v>56</v>
      </c>
      <c r="H122" s="19">
        <v>2</v>
      </c>
      <c r="I122" s="21">
        <v>366.93</v>
      </c>
      <c r="J122" s="21">
        <v>220</v>
      </c>
      <c r="K122" s="21">
        <v>733.86</v>
      </c>
      <c r="L122" s="21">
        <v>293.86</v>
      </c>
    </row>
    <row r="123" spans="1:12" x14ac:dyDescent="0.35">
      <c r="A123" s="19" t="s">
        <v>253</v>
      </c>
      <c r="B123" s="20">
        <v>41742</v>
      </c>
      <c r="C123" s="19" t="s">
        <v>53</v>
      </c>
      <c r="D123" s="19" t="s">
        <v>67</v>
      </c>
      <c r="E123" s="19" t="s">
        <v>134</v>
      </c>
      <c r="F123" s="19" t="s">
        <v>140</v>
      </c>
      <c r="G123" s="19" t="s">
        <v>56</v>
      </c>
      <c r="H123" s="19">
        <v>4</v>
      </c>
      <c r="I123" s="21">
        <v>163.94</v>
      </c>
      <c r="J123" s="21">
        <v>95</v>
      </c>
      <c r="K123" s="21">
        <v>655.76</v>
      </c>
      <c r="L123" s="21">
        <v>275.76</v>
      </c>
    </row>
    <row r="124" spans="1:12" x14ac:dyDescent="0.35">
      <c r="A124" s="19" t="s">
        <v>254</v>
      </c>
      <c r="B124" s="20">
        <v>41743</v>
      </c>
      <c r="C124" s="19" t="s">
        <v>59</v>
      </c>
      <c r="D124" s="19" t="s">
        <v>61</v>
      </c>
      <c r="E124" s="19" t="s">
        <v>150</v>
      </c>
      <c r="F124" s="19" t="s">
        <v>137</v>
      </c>
      <c r="G124" s="19" t="s">
        <v>54</v>
      </c>
      <c r="H124" s="19">
        <v>1</v>
      </c>
      <c r="I124" s="21">
        <v>269.8</v>
      </c>
      <c r="J124" s="21">
        <v>180</v>
      </c>
      <c r="L124" s="21">
        <v>89.8</v>
      </c>
    </row>
    <row r="125" spans="1:12" x14ac:dyDescent="0.35">
      <c r="A125" s="19" t="s">
        <v>255</v>
      </c>
      <c r="B125" s="20">
        <v>41744</v>
      </c>
      <c r="C125" s="19" t="s">
        <v>57</v>
      </c>
      <c r="D125" s="19" t="s">
        <v>66</v>
      </c>
      <c r="E125" s="19" t="s">
        <v>146</v>
      </c>
      <c r="F125" s="19" t="s">
        <v>137</v>
      </c>
      <c r="G125" s="19" t="s">
        <v>54</v>
      </c>
      <c r="H125" s="19">
        <v>3</v>
      </c>
      <c r="I125" s="21">
        <v>289.74</v>
      </c>
      <c r="J125" s="21">
        <v>180</v>
      </c>
      <c r="K125" s="21">
        <v>869.22</v>
      </c>
      <c r="L125" s="21">
        <v>329.22</v>
      </c>
    </row>
    <row r="126" spans="1:12" x14ac:dyDescent="0.35">
      <c r="A126" s="19" t="s">
        <v>256</v>
      </c>
      <c r="B126" s="20">
        <v>41744</v>
      </c>
      <c r="C126" s="19" t="s">
        <v>59</v>
      </c>
      <c r="D126" s="19" t="s">
        <v>61</v>
      </c>
      <c r="E126" s="19" t="s">
        <v>87</v>
      </c>
      <c r="F126" s="19" t="s">
        <v>123</v>
      </c>
      <c r="G126" s="19" t="s">
        <v>54</v>
      </c>
      <c r="H126" s="19">
        <v>2</v>
      </c>
      <c r="I126" s="21">
        <v>60.61</v>
      </c>
      <c r="J126" s="21">
        <v>28</v>
      </c>
      <c r="L126" s="21">
        <v>65.22</v>
      </c>
    </row>
    <row r="127" spans="1:12" x14ac:dyDescent="0.35">
      <c r="A127" s="19" t="s">
        <v>257</v>
      </c>
      <c r="B127" s="20">
        <v>41745</v>
      </c>
      <c r="C127" s="19" t="s">
        <v>59</v>
      </c>
      <c r="D127" s="19" t="s">
        <v>68</v>
      </c>
      <c r="E127" s="19" t="s">
        <v>114</v>
      </c>
      <c r="F127" s="19" t="s">
        <v>123</v>
      </c>
      <c r="G127" s="19" t="s">
        <v>54</v>
      </c>
      <c r="H127" s="19">
        <v>4</v>
      </c>
      <c r="I127" s="21">
        <v>55.83</v>
      </c>
      <c r="J127" s="21">
        <v>28</v>
      </c>
      <c r="K127" s="21">
        <v>223.32</v>
      </c>
      <c r="L127" s="21">
        <v>111.32</v>
      </c>
    </row>
    <row r="128" spans="1:12" x14ac:dyDescent="0.35">
      <c r="A128" s="19" t="s">
        <v>258</v>
      </c>
      <c r="B128" s="20">
        <v>41747</v>
      </c>
      <c r="C128" s="19" t="s">
        <v>563</v>
      </c>
      <c r="D128" s="19" t="s">
        <v>65</v>
      </c>
      <c r="E128" s="19" t="s">
        <v>146</v>
      </c>
      <c r="F128" s="19" t="s">
        <v>142</v>
      </c>
      <c r="G128" s="19" t="s">
        <v>58</v>
      </c>
      <c r="H128" s="19">
        <v>3</v>
      </c>
      <c r="I128" s="21">
        <v>10.86</v>
      </c>
      <c r="J128" s="21">
        <v>4</v>
      </c>
      <c r="K128" s="21">
        <v>32.58</v>
      </c>
      <c r="L128" s="21">
        <v>20.58</v>
      </c>
    </row>
    <row r="129" spans="1:12" x14ac:dyDescent="0.35">
      <c r="A129" s="19" t="s">
        <v>259</v>
      </c>
      <c r="B129" s="20">
        <v>41749</v>
      </c>
      <c r="C129" s="19" t="s">
        <v>59</v>
      </c>
      <c r="D129" s="19" t="s">
        <v>61</v>
      </c>
      <c r="E129" s="19" t="s">
        <v>134</v>
      </c>
      <c r="F129" s="19" t="s">
        <v>115</v>
      </c>
      <c r="G129" s="19" t="s">
        <v>56</v>
      </c>
      <c r="H129" s="19">
        <v>1</v>
      </c>
      <c r="I129" s="21">
        <v>386.2</v>
      </c>
      <c r="J129" s="21">
        <v>220</v>
      </c>
      <c r="K129" s="21">
        <v>386.2</v>
      </c>
      <c r="L129" s="21">
        <v>166.2</v>
      </c>
    </row>
    <row r="130" spans="1:12" x14ac:dyDescent="0.35">
      <c r="A130" s="19" t="s">
        <v>260</v>
      </c>
      <c r="B130" s="20">
        <v>41751</v>
      </c>
      <c r="C130" s="19" t="s">
        <v>55</v>
      </c>
      <c r="D130" s="19" t="s">
        <v>63</v>
      </c>
      <c r="E130" s="19" t="s">
        <v>131</v>
      </c>
      <c r="F130" s="19" t="s">
        <v>140</v>
      </c>
      <c r="G130" s="19" t="s">
        <v>56</v>
      </c>
      <c r="H130" s="19">
        <v>1</v>
      </c>
      <c r="I130" s="21">
        <v>158.18</v>
      </c>
      <c r="J130" s="21">
        <v>95</v>
      </c>
      <c r="K130" s="21">
        <v>158.18</v>
      </c>
      <c r="L130" s="21">
        <v>63.18</v>
      </c>
    </row>
    <row r="131" spans="1:12" x14ac:dyDescent="0.35">
      <c r="A131" s="19" t="s">
        <v>261</v>
      </c>
      <c r="B131" s="20">
        <v>41753</v>
      </c>
      <c r="C131" s="19" t="s">
        <v>59</v>
      </c>
      <c r="D131" s="19" t="s">
        <v>61</v>
      </c>
      <c r="E131" s="19" t="s">
        <v>87</v>
      </c>
      <c r="F131" s="19" t="s">
        <v>137</v>
      </c>
      <c r="G131" s="19" t="s">
        <v>54</v>
      </c>
      <c r="H131" s="19">
        <v>3</v>
      </c>
      <c r="I131" s="21">
        <v>291.89</v>
      </c>
      <c r="J131" s="21">
        <v>180</v>
      </c>
      <c r="K131" s="21">
        <v>875.67</v>
      </c>
      <c r="L131" s="21">
        <v>335.67</v>
      </c>
    </row>
    <row r="132" spans="1:12" x14ac:dyDescent="0.35">
      <c r="A132" s="19" t="s">
        <v>262</v>
      </c>
      <c r="B132" s="20">
        <v>41753</v>
      </c>
      <c r="C132" s="19" t="s">
        <v>55</v>
      </c>
      <c r="D132" s="19" t="s">
        <v>65</v>
      </c>
      <c r="E132" s="19" t="s">
        <v>144</v>
      </c>
      <c r="F132" s="19" t="s">
        <v>132</v>
      </c>
      <c r="G132" s="19" t="s">
        <v>56</v>
      </c>
      <c r="H132" s="19">
        <v>2</v>
      </c>
      <c r="I132" s="21">
        <v>34.36</v>
      </c>
      <c r="J132" s="21">
        <v>15</v>
      </c>
      <c r="K132" s="21">
        <v>68.72</v>
      </c>
      <c r="L132" s="21">
        <v>38.72</v>
      </c>
    </row>
    <row r="133" spans="1:12" x14ac:dyDescent="0.35">
      <c r="A133" s="19" t="s">
        <v>263</v>
      </c>
      <c r="B133" s="20">
        <v>41753</v>
      </c>
      <c r="C133" s="19" t="s">
        <v>53</v>
      </c>
      <c r="D133" s="19" t="s">
        <v>67</v>
      </c>
      <c r="E133" s="19" t="s">
        <v>131</v>
      </c>
      <c r="F133" s="19" t="s">
        <v>142</v>
      </c>
      <c r="G133" s="19" t="s">
        <v>58</v>
      </c>
      <c r="H133" s="19">
        <v>2</v>
      </c>
      <c r="I133" s="21">
        <v>10.49</v>
      </c>
      <c r="J133" s="21">
        <v>4</v>
      </c>
      <c r="K133" s="21">
        <v>20.98</v>
      </c>
      <c r="L133" s="21">
        <v>12.98</v>
      </c>
    </row>
    <row r="134" spans="1:12" x14ac:dyDescent="0.35">
      <c r="A134" s="19" t="s">
        <v>264</v>
      </c>
      <c r="B134" s="20">
        <v>41754</v>
      </c>
      <c r="C134" s="19" t="s">
        <v>59</v>
      </c>
      <c r="D134" s="19" t="s">
        <v>68</v>
      </c>
      <c r="E134" s="19" t="s">
        <v>117</v>
      </c>
      <c r="F134" s="19" t="s">
        <v>118</v>
      </c>
      <c r="G134" s="19" t="s">
        <v>54</v>
      </c>
      <c r="H134" s="19">
        <v>2</v>
      </c>
      <c r="I134" s="21">
        <v>25.39</v>
      </c>
      <c r="J134" s="21">
        <v>12</v>
      </c>
      <c r="K134" s="21">
        <v>50.78</v>
      </c>
      <c r="L134" s="21">
        <v>26.78</v>
      </c>
    </row>
    <row r="135" spans="1:12" x14ac:dyDescent="0.35">
      <c r="A135" s="19" t="s">
        <v>265</v>
      </c>
      <c r="B135" s="20">
        <v>41754</v>
      </c>
      <c r="C135" s="19" t="s">
        <v>59</v>
      </c>
      <c r="D135" s="19" t="s">
        <v>68</v>
      </c>
      <c r="E135" s="19" t="s">
        <v>114</v>
      </c>
      <c r="F135" s="19" t="s">
        <v>142</v>
      </c>
      <c r="G135" s="19" t="s">
        <v>58</v>
      </c>
      <c r="H135" s="19">
        <v>3</v>
      </c>
      <c r="I135" s="21">
        <v>10.14</v>
      </c>
      <c r="J135" s="21">
        <v>4</v>
      </c>
      <c r="K135" s="21">
        <v>30.42</v>
      </c>
    </row>
    <row r="136" spans="1:12" x14ac:dyDescent="0.35">
      <c r="A136" s="19" t="s">
        <v>266</v>
      </c>
      <c r="B136" s="20">
        <v>41755</v>
      </c>
      <c r="C136" s="19" t="s">
        <v>57</v>
      </c>
      <c r="D136" s="19" t="s">
        <v>66</v>
      </c>
      <c r="E136" s="19" t="s">
        <v>100</v>
      </c>
      <c r="F136" s="19" t="s">
        <v>123</v>
      </c>
      <c r="G136" s="19" t="s">
        <v>54</v>
      </c>
      <c r="H136" s="19">
        <v>1</v>
      </c>
      <c r="I136" s="21">
        <v>59.97</v>
      </c>
      <c r="J136" s="21">
        <v>28</v>
      </c>
      <c r="K136" s="21">
        <v>59.97</v>
      </c>
      <c r="L136" s="21">
        <v>31.97</v>
      </c>
    </row>
    <row r="137" spans="1:12" x14ac:dyDescent="0.35">
      <c r="A137" s="19" t="s">
        <v>267</v>
      </c>
      <c r="B137" s="20">
        <v>41756</v>
      </c>
      <c r="C137" s="19" t="s">
        <v>53</v>
      </c>
      <c r="D137" s="19" t="s">
        <v>67</v>
      </c>
      <c r="E137" s="19" t="s">
        <v>150</v>
      </c>
      <c r="F137" s="19" t="s">
        <v>125</v>
      </c>
      <c r="G137" s="19" t="s">
        <v>56</v>
      </c>
      <c r="H137" s="19">
        <v>2</v>
      </c>
      <c r="I137" s="21">
        <v>136.77000000000001</v>
      </c>
      <c r="J137" s="21">
        <v>70</v>
      </c>
      <c r="K137" s="21">
        <v>273.54000000000002</v>
      </c>
      <c r="L137" s="21">
        <v>133.54</v>
      </c>
    </row>
    <row r="138" spans="1:12" x14ac:dyDescent="0.35">
      <c r="A138" s="19" t="s">
        <v>268</v>
      </c>
      <c r="B138" s="20">
        <v>41757</v>
      </c>
      <c r="C138" s="19" t="s">
        <v>57</v>
      </c>
      <c r="D138" s="19" t="s">
        <v>66</v>
      </c>
      <c r="E138" s="19" t="s">
        <v>117</v>
      </c>
      <c r="F138" s="19" t="s">
        <v>123</v>
      </c>
      <c r="G138" s="19" t="s">
        <v>54</v>
      </c>
      <c r="H138" s="19">
        <v>1</v>
      </c>
      <c r="I138" s="21">
        <v>60.15</v>
      </c>
      <c r="J138" s="21">
        <v>28</v>
      </c>
      <c r="K138" s="21">
        <v>60.15</v>
      </c>
      <c r="L138" s="21">
        <v>32.15</v>
      </c>
    </row>
    <row r="139" spans="1:12" x14ac:dyDescent="0.35">
      <c r="A139" s="19" t="s">
        <v>269</v>
      </c>
      <c r="B139" s="20">
        <v>41758</v>
      </c>
      <c r="C139" s="19" t="s">
        <v>57</v>
      </c>
      <c r="D139" s="19" t="s">
        <v>62</v>
      </c>
      <c r="E139" s="19" t="s">
        <v>89</v>
      </c>
      <c r="F139" s="19" t="s">
        <v>156</v>
      </c>
      <c r="G139" s="19" t="s">
        <v>54</v>
      </c>
      <c r="H139" s="19">
        <v>2</v>
      </c>
      <c r="I139" s="21">
        <v>41.12</v>
      </c>
      <c r="J139" s="21">
        <v>18</v>
      </c>
      <c r="K139" s="21">
        <v>82.24</v>
      </c>
      <c r="L139" s="21">
        <v>46.24</v>
      </c>
    </row>
    <row r="140" spans="1:12" x14ac:dyDescent="0.35">
      <c r="A140" s="19" t="s">
        <v>270</v>
      </c>
      <c r="B140" s="20">
        <v>41759</v>
      </c>
      <c r="C140" s="19" t="s">
        <v>53</v>
      </c>
      <c r="D140" s="19" t="s">
        <v>64</v>
      </c>
      <c r="E140" s="19" t="s">
        <v>91</v>
      </c>
      <c r="F140" s="19" t="s">
        <v>123</v>
      </c>
      <c r="G140" s="19" t="s">
        <v>54</v>
      </c>
      <c r="H140" s="19">
        <v>3</v>
      </c>
      <c r="I140" s="21">
        <v>61.19</v>
      </c>
      <c r="J140" s="21">
        <v>28</v>
      </c>
      <c r="K140" s="21">
        <v>183.57</v>
      </c>
      <c r="L140" s="21">
        <v>99.57</v>
      </c>
    </row>
    <row r="141" spans="1:12" x14ac:dyDescent="0.35">
      <c r="A141" s="19" t="s">
        <v>271</v>
      </c>
      <c r="B141" s="20">
        <v>41760</v>
      </c>
      <c r="C141" s="19" t="s">
        <v>59</v>
      </c>
      <c r="D141" s="19" t="s">
        <v>61</v>
      </c>
      <c r="E141" s="19" t="s">
        <v>146</v>
      </c>
      <c r="F141" s="19" t="s">
        <v>125</v>
      </c>
      <c r="G141" s="19" t="s">
        <v>56</v>
      </c>
      <c r="H141" s="19">
        <v>2</v>
      </c>
      <c r="I141" s="21">
        <v>162.85</v>
      </c>
      <c r="J141" s="21">
        <v>70</v>
      </c>
      <c r="K141" s="21">
        <v>325.7</v>
      </c>
      <c r="L141" s="21">
        <v>185.7</v>
      </c>
    </row>
    <row r="142" spans="1:12" x14ac:dyDescent="0.35">
      <c r="A142" s="19" t="s">
        <v>272</v>
      </c>
      <c r="B142" s="20">
        <v>41761</v>
      </c>
      <c r="C142" s="19" t="s">
        <v>59</v>
      </c>
      <c r="D142" s="19" t="s">
        <v>564</v>
      </c>
      <c r="E142" s="19" t="s">
        <v>134</v>
      </c>
      <c r="F142" s="19" t="s">
        <v>156</v>
      </c>
      <c r="G142" s="19" t="s">
        <v>54</v>
      </c>
      <c r="H142" s="19">
        <v>4</v>
      </c>
      <c r="I142" s="21">
        <v>50.97</v>
      </c>
      <c r="J142" s="21">
        <v>18</v>
      </c>
      <c r="L142" s="21">
        <v>131.88</v>
      </c>
    </row>
    <row r="143" spans="1:12" x14ac:dyDescent="0.35">
      <c r="A143" s="19" t="s">
        <v>273</v>
      </c>
      <c r="B143" s="20">
        <v>41761</v>
      </c>
      <c r="C143" s="19" t="s">
        <v>57</v>
      </c>
      <c r="D143" s="19" t="s">
        <v>66</v>
      </c>
      <c r="E143" s="19" t="s">
        <v>565</v>
      </c>
      <c r="F143" s="19" t="s">
        <v>118</v>
      </c>
      <c r="G143" s="19" t="s">
        <v>54</v>
      </c>
      <c r="H143" s="19">
        <v>3</v>
      </c>
      <c r="I143" s="21">
        <v>29.49</v>
      </c>
      <c r="J143" s="21">
        <v>12</v>
      </c>
      <c r="K143" s="21">
        <v>88.47</v>
      </c>
      <c r="L143" s="21">
        <v>52.47</v>
      </c>
    </row>
    <row r="144" spans="1:12" x14ac:dyDescent="0.35">
      <c r="A144" s="19" t="s">
        <v>274</v>
      </c>
      <c r="B144" s="20">
        <v>41762</v>
      </c>
      <c r="C144" s="19" t="s">
        <v>53</v>
      </c>
      <c r="D144" s="19" t="s">
        <v>64</v>
      </c>
      <c r="E144" s="19" t="s">
        <v>114</v>
      </c>
      <c r="F144" s="19" t="s">
        <v>128</v>
      </c>
      <c r="G144" s="19" t="s">
        <v>54</v>
      </c>
      <c r="H144" s="19">
        <v>4</v>
      </c>
      <c r="I144" s="21">
        <v>86.28</v>
      </c>
      <c r="J144" s="21">
        <v>40</v>
      </c>
      <c r="K144" s="21">
        <v>345.12</v>
      </c>
      <c r="L144" s="21">
        <v>185.12</v>
      </c>
    </row>
    <row r="145" spans="1:12" x14ac:dyDescent="0.35">
      <c r="A145" s="19" t="s">
        <v>275</v>
      </c>
      <c r="B145" s="20">
        <v>41762</v>
      </c>
      <c r="C145" s="19" t="s">
        <v>55</v>
      </c>
      <c r="D145" s="19" t="s">
        <v>558</v>
      </c>
      <c r="E145" s="19" t="s">
        <v>117</v>
      </c>
      <c r="F145" s="19" t="s">
        <v>128</v>
      </c>
      <c r="G145" s="19" t="s">
        <v>54</v>
      </c>
      <c r="H145" s="19">
        <v>2</v>
      </c>
      <c r="I145" s="21">
        <v>85.18</v>
      </c>
      <c r="J145" s="21">
        <v>40</v>
      </c>
      <c r="K145" s="21">
        <v>170.36</v>
      </c>
      <c r="L145" s="21">
        <v>90.36</v>
      </c>
    </row>
    <row r="146" spans="1:12" x14ac:dyDescent="0.35">
      <c r="A146" s="19" t="s">
        <v>276</v>
      </c>
      <c r="B146" s="20">
        <v>41762</v>
      </c>
      <c r="C146" s="19" t="s">
        <v>53</v>
      </c>
      <c r="D146" s="19" t="s">
        <v>67</v>
      </c>
      <c r="E146" s="19" t="s">
        <v>153</v>
      </c>
      <c r="F146" s="19" t="s">
        <v>132</v>
      </c>
      <c r="G146" s="19" t="s">
        <v>56</v>
      </c>
      <c r="H146" s="19">
        <v>1</v>
      </c>
      <c r="I146" s="21">
        <v>39.44</v>
      </c>
      <c r="J146" s="21">
        <v>15</v>
      </c>
      <c r="K146" s="21">
        <v>39.44</v>
      </c>
      <c r="L146" s="21">
        <v>24.44</v>
      </c>
    </row>
    <row r="147" spans="1:12" x14ac:dyDescent="0.35">
      <c r="A147" s="19" t="s">
        <v>277</v>
      </c>
      <c r="B147" s="20">
        <v>41763</v>
      </c>
      <c r="C147" s="19" t="s">
        <v>59</v>
      </c>
      <c r="D147" s="19" t="s">
        <v>68</v>
      </c>
      <c r="E147" s="19" t="s">
        <v>100</v>
      </c>
      <c r="F147" s="19" t="s">
        <v>137</v>
      </c>
      <c r="G147" s="19" t="s">
        <v>54</v>
      </c>
      <c r="H147" s="19">
        <v>1</v>
      </c>
      <c r="I147" s="21">
        <v>336.89</v>
      </c>
      <c r="J147" s="21">
        <v>180</v>
      </c>
      <c r="K147" s="21">
        <v>336.89</v>
      </c>
      <c r="L147" s="21">
        <v>156.88999999999999</v>
      </c>
    </row>
    <row r="148" spans="1:12" x14ac:dyDescent="0.35">
      <c r="A148" s="19" t="s">
        <v>278</v>
      </c>
      <c r="B148" s="20">
        <v>41764</v>
      </c>
      <c r="C148" s="19" t="s">
        <v>55</v>
      </c>
      <c r="D148" s="19" t="s">
        <v>63</v>
      </c>
      <c r="E148" s="19" t="s">
        <v>91</v>
      </c>
      <c r="F148" s="19" t="s">
        <v>132</v>
      </c>
      <c r="G148" s="19" t="s">
        <v>56</v>
      </c>
      <c r="H148" s="19">
        <v>1</v>
      </c>
      <c r="I148" s="21">
        <v>38.979999999999997</v>
      </c>
      <c r="J148" s="21">
        <v>15</v>
      </c>
      <c r="K148" s="21">
        <v>38.979999999999997</v>
      </c>
      <c r="L148" s="21">
        <v>23.98</v>
      </c>
    </row>
    <row r="149" spans="1:12" x14ac:dyDescent="0.35">
      <c r="A149" s="19" t="s">
        <v>279</v>
      </c>
      <c r="B149" s="20">
        <v>41764</v>
      </c>
      <c r="C149" s="19" t="s">
        <v>57</v>
      </c>
      <c r="D149" s="19" t="s">
        <v>66</v>
      </c>
      <c r="E149" s="19" t="s">
        <v>131</v>
      </c>
      <c r="F149" s="19" t="s">
        <v>132</v>
      </c>
      <c r="G149" s="19" t="s">
        <v>56</v>
      </c>
      <c r="H149" s="19">
        <v>1</v>
      </c>
      <c r="I149" s="21">
        <v>40.69</v>
      </c>
      <c r="J149" s="21">
        <v>15</v>
      </c>
      <c r="K149" s="21">
        <v>40.69</v>
      </c>
      <c r="L149" s="21">
        <v>25.69</v>
      </c>
    </row>
    <row r="150" spans="1:12" x14ac:dyDescent="0.35">
      <c r="A150" s="19" t="s">
        <v>280</v>
      </c>
      <c r="B150" s="20">
        <v>41764</v>
      </c>
      <c r="C150" s="19" t="s">
        <v>53</v>
      </c>
      <c r="D150" s="19" t="s">
        <v>67</v>
      </c>
      <c r="E150" s="19" t="s">
        <v>146</v>
      </c>
      <c r="F150" s="19" t="s">
        <v>132</v>
      </c>
      <c r="G150" s="19" t="s">
        <v>56</v>
      </c>
      <c r="H150" s="19">
        <v>4</v>
      </c>
      <c r="I150" s="21">
        <v>40.74</v>
      </c>
      <c r="J150" s="21">
        <v>15</v>
      </c>
      <c r="K150" s="21">
        <v>162.96</v>
      </c>
      <c r="L150" s="21">
        <v>102.96</v>
      </c>
    </row>
    <row r="151" spans="1:12" x14ac:dyDescent="0.35">
      <c r="A151" s="19" t="s">
        <v>281</v>
      </c>
      <c r="B151" s="20">
        <v>41767</v>
      </c>
      <c r="C151" s="19" t="s">
        <v>57</v>
      </c>
      <c r="D151" s="19" t="s">
        <v>561</v>
      </c>
      <c r="E151" s="19" t="s">
        <v>131</v>
      </c>
      <c r="F151" s="19" t="s">
        <v>125</v>
      </c>
      <c r="G151" s="19" t="s">
        <v>56</v>
      </c>
      <c r="H151" s="19">
        <v>1</v>
      </c>
      <c r="I151" s="21">
        <v>161.41999999999999</v>
      </c>
      <c r="J151" s="21">
        <v>70</v>
      </c>
      <c r="K151" s="21">
        <v>161.41999999999999</v>
      </c>
      <c r="L151" s="21">
        <v>91.42</v>
      </c>
    </row>
    <row r="152" spans="1:12" x14ac:dyDescent="0.35">
      <c r="A152" s="19" t="s">
        <v>282</v>
      </c>
      <c r="B152" s="20">
        <v>41767</v>
      </c>
      <c r="C152" s="19" t="s">
        <v>53</v>
      </c>
      <c r="D152" s="19" t="s">
        <v>64</v>
      </c>
      <c r="E152" s="19" t="s">
        <v>139</v>
      </c>
      <c r="F152" s="19" t="s">
        <v>118</v>
      </c>
      <c r="G152" s="19" t="s">
        <v>54</v>
      </c>
      <c r="H152" s="19">
        <v>1</v>
      </c>
      <c r="I152" s="21">
        <v>27.66</v>
      </c>
      <c r="J152" s="21">
        <v>12</v>
      </c>
      <c r="K152" s="21">
        <v>27.66</v>
      </c>
      <c r="L152" s="21">
        <v>15.66</v>
      </c>
    </row>
    <row r="153" spans="1:12" x14ac:dyDescent="0.35">
      <c r="A153" s="19" t="s">
        <v>283</v>
      </c>
      <c r="B153" s="20">
        <v>41768</v>
      </c>
      <c r="C153" s="19" t="s">
        <v>55</v>
      </c>
      <c r="D153" s="19" t="s">
        <v>65</v>
      </c>
      <c r="E153" s="19" t="s">
        <v>146</v>
      </c>
      <c r="F153" s="19" t="s">
        <v>118</v>
      </c>
      <c r="G153" s="19" t="s">
        <v>54</v>
      </c>
      <c r="H153" s="19">
        <v>3</v>
      </c>
      <c r="I153" s="21">
        <v>30.31</v>
      </c>
      <c r="J153" s="21">
        <v>12</v>
      </c>
      <c r="K153" s="21">
        <v>90.93</v>
      </c>
      <c r="L153" s="21">
        <v>54.93</v>
      </c>
    </row>
    <row r="154" spans="1:12" x14ac:dyDescent="0.35">
      <c r="A154" s="19" t="s">
        <v>284</v>
      </c>
      <c r="B154" s="20">
        <v>41768</v>
      </c>
      <c r="C154" s="19" t="s">
        <v>53</v>
      </c>
      <c r="D154" s="19" t="s">
        <v>67</v>
      </c>
      <c r="E154" s="19" t="s">
        <v>114</v>
      </c>
      <c r="F154" s="19" t="s">
        <v>142</v>
      </c>
      <c r="G154" s="19" t="s">
        <v>58</v>
      </c>
      <c r="H154" s="19">
        <v>2</v>
      </c>
      <c r="I154" s="21">
        <v>12.83</v>
      </c>
      <c r="J154" s="21">
        <v>4</v>
      </c>
      <c r="K154" s="21">
        <v>25.66</v>
      </c>
      <c r="L154" s="21">
        <v>17.66</v>
      </c>
    </row>
    <row r="155" spans="1:12" x14ac:dyDescent="0.35">
      <c r="A155" s="19" t="s">
        <v>285</v>
      </c>
      <c r="B155" s="20">
        <v>41769</v>
      </c>
      <c r="C155" s="19" t="s">
        <v>59</v>
      </c>
      <c r="D155" s="19" t="s">
        <v>66</v>
      </c>
      <c r="E155" s="19" t="s">
        <v>131</v>
      </c>
      <c r="F155" s="19" t="s">
        <v>125</v>
      </c>
      <c r="G155" s="19" t="s">
        <v>56</v>
      </c>
      <c r="H155" s="19">
        <v>3</v>
      </c>
      <c r="I155" s="21">
        <v>151.07</v>
      </c>
      <c r="J155" s="21">
        <v>70</v>
      </c>
      <c r="K155" s="21">
        <v>453.21</v>
      </c>
      <c r="L155" s="21">
        <v>243.21</v>
      </c>
    </row>
    <row r="156" spans="1:12" x14ac:dyDescent="0.35">
      <c r="A156" s="19" t="s">
        <v>286</v>
      </c>
      <c r="B156" s="20">
        <v>41770</v>
      </c>
      <c r="C156" s="19" t="s">
        <v>53</v>
      </c>
      <c r="D156" s="19" t="s">
        <v>67</v>
      </c>
      <c r="E156" s="19" t="s">
        <v>139</v>
      </c>
      <c r="F156" s="19" t="s">
        <v>115</v>
      </c>
      <c r="G156" s="19" t="s">
        <v>56</v>
      </c>
      <c r="H156" s="19">
        <v>1</v>
      </c>
      <c r="I156" s="21">
        <v>468.25</v>
      </c>
      <c r="J156" s="21">
        <v>220</v>
      </c>
      <c r="K156" s="21">
        <v>468.25</v>
      </c>
      <c r="L156" s="21">
        <v>248.25</v>
      </c>
    </row>
    <row r="157" spans="1:12" x14ac:dyDescent="0.35">
      <c r="A157" s="19" t="s">
        <v>287</v>
      </c>
      <c r="B157" s="20">
        <v>41772</v>
      </c>
      <c r="C157" s="19" t="s">
        <v>57</v>
      </c>
      <c r="D157" s="19" t="s">
        <v>66</v>
      </c>
      <c r="E157" s="19" t="s">
        <v>98</v>
      </c>
      <c r="F157" s="19" t="s">
        <v>142</v>
      </c>
      <c r="G157" s="19" t="s">
        <v>58</v>
      </c>
      <c r="H157" s="19">
        <v>2</v>
      </c>
      <c r="I157" s="21">
        <v>12.52</v>
      </c>
      <c r="J157" s="21">
        <v>4</v>
      </c>
      <c r="K157" s="21">
        <v>25.04</v>
      </c>
      <c r="L157" s="21">
        <v>17.04</v>
      </c>
    </row>
    <row r="158" spans="1:12" x14ac:dyDescent="0.35">
      <c r="A158" s="19" t="s">
        <v>288</v>
      </c>
      <c r="B158" s="20">
        <v>41772</v>
      </c>
      <c r="C158" s="19" t="s">
        <v>59</v>
      </c>
      <c r="D158" s="19" t="s">
        <v>61</v>
      </c>
      <c r="E158" s="19" t="s">
        <v>153</v>
      </c>
      <c r="F158" s="19" t="s">
        <v>137</v>
      </c>
      <c r="G158" s="19" t="s">
        <v>54</v>
      </c>
      <c r="H158" s="19">
        <v>3</v>
      </c>
      <c r="I158" s="21">
        <v>319.86</v>
      </c>
      <c r="J158" s="21">
        <v>180</v>
      </c>
      <c r="K158" s="21">
        <v>959.58</v>
      </c>
      <c r="L158" s="21">
        <v>419.58</v>
      </c>
    </row>
    <row r="159" spans="1:12" x14ac:dyDescent="0.35">
      <c r="A159" s="19" t="s">
        <v>289</v>
      </c>
      <c r="B159" s="20">
        <v>41772</v>
      </c>
      <c r="C159" s="19" t="s">
        <v>59</v>
      </c>
      <c r="D159" s="19" t="s">
        <v>68</v>
      </c>
      <c r="E159" s="19" t="s">
        <v>91</v>
      </c>
      <c r="F159" s="19" t="s">
        <v>132</v>
      </c>
      <c r="G159" s="19" t="s">
        <v>56</v>
      </c>
      <c r="H159" s="19">
        <v>2</v>
      </c>
      <c r="I159" s="21">
        <v>37.119999999999997</v>
      </c>
      <c r="J159" s="21">
        <v>15</v>
      </c>
      <c r="K159" s="21">
        <v>74.239999999999995</v>
      </c>
      <c r="L159" s="21">
        <v>44.24</v>
      </c>
    </row>
    <row r="160" spans="1:12" x14ac:dyDescent="0.35">
      <c r="A160" s="19" t="s">
        <v>290</v>
      </c>
      <c r="B160" s="20">
        <v>41773</v>
      </c>
      <c r="C160" s="19" t="s">
        <v>59</v>
      </c>
      <c r="D160" s="19" t="s">
        <v>68</v>
      </c>
      <c r="E160" s="19" t="s">
        <v>134</v>
      </c>
      <c r="F160" s="19" t="s">
        <v>137</v>
      </c>
      <c r="G160" s="19" t="s">
        <v>54</v>
      </c>
      <c r="H160" s="19">
        <v>1</v>
      </c>
      <c r="I160" s="21">
        <v>341.49</v>
      </c>
      <c r="J160" s="21">
        <v>180</v>
      </c>
      <c r="K160" s="21">
        <v>341.49</v>
      </c>
      <c r="L160" s="21">
        <v>161.49</v>
      </c>
    </row>
    <row r="161" spans="1:12" x14ac:dyDescent="0.35">
      <c r="A161" s="19" t="s">
        <v>291</v>
      </c>
      <c r="B161" s="20">
        <v>41775</v>
      </c>
      <c r="C161" s="19" t="s">
        <v>59</v>
      </c>
      <c r="D161" s="19" t="s">
        <v>67</v>
      </c>
      <c r="E161" s="19" t="s">
        <v>146</v>
      </c>
      <c r="F161" s="19" t="s">
        <v>137</v>
      </c>
      <c r="G161" s="19" t="s">
        <v>54</v>
      </c>
      <c r="H161" s="19">
        <v>2</v>
      </c>
      <c r="I161" s="21">
        <v>344.93</v>
      </c>
      <c r="J161" s="21">
        <v>180</v>
      </c>
      <c r="K161" s="21">
        <v>689.86</v>
      </c>
      <c r="L161" s="21">
        <v>329.86</v>
      </c>
    </row>
    <row r="162" spans="1:12" x14ac:dyDescent="0.35">
      <c r="A162" s="19" t="s">
        <v>292</v>
      </c>
      <c r="B162" s="20">
        <v>41776</v>
      </c>
      <c r="C162" s="19" t="s">
        <v>55</v>
      </c>
      <c r="D162" s="19" t="s">
        <v>61</v>
      </c>
      <c r="E162" s="19" t="s">
        <v>114</v>
      </c>
      <c r="F162" s="19" t="s">
        <v>142</v>
      </c>
      <c r="G162" s="19" t="s">
        <v>58</v>
      </c>
      <c r="H162" s="19">
        <v>2</v>
      </c>
      <c r="I162" s="21">
        <v>12.91</v>
      </c>
      <c r="J162" s="21">
        <v>4</v>
      </c>
      <c r="K162" s="21">
        <v>25.82</v>
      </c>
      <c r="L162" s="21">
        <v>17.82</v>
      </c>
    </row>
    <row r="163" spans="1:12" x14ac:dyDescent="0.35">
      <c r="A163" s="19" t="s">
        <v>293</v>
      </c>
      <c r="B163" s="20">
        <v>41778</v>
      </c>
      <c r="C163" s="19" t="s">
        <v>55</v>
      </c>
      <c r="D163" s="19" t="s">
        <v>61</v>
      </c>
      <c r="E163" s="19" t="s">
        <v>89</v>
      </c>
      <c r="F163" s="19" t="s">
        <v>142</v>
      </c>
      <c r="G163" s="19" t="s">
        <v>58</v>
      </c>
      <c r="H163" s="19">
        <v>1</v>
      </c>
      <c r="I163" s="21">
        <v>13.11</v>
      </c>
      <c r="J163" s="21">
        <v>4</v>
      </c>
      <c r="K163" s="21">
        <v>13.11</v>
      </c>
      <c r="L163" s="21">
        <v>9.11</v>
      </c>
    </row>
    <row r="164" spans="1:12" x14ac:dyDescent="0.35">
      <c r="A164" s="19" t="s">
        <v>294</v>
      </c>
      <c r="B164" s="20">
        <v>41779</v>
      </c>
      <c r="C164" s="19" t="s">
        <v>59</v>
      </c>
      <c r="D164" s="19" t="s">
        <v>68</v>
      </c>
      <c r="E164" s="19" t="s">
        <v>87</v>
      </c>
      <c r="F164" s="19" t="s">
        <v>137</v>
      </c>
      <c r="G164" s="19" t="s">
        <v>54</v>
      </c>
      <c r="H164" s="19">
        <v>3</v>
      </c>
      <c r="I164" s="21">
        <v>338.81</v>
      </c>
      <c r="J164" s="21">
        <v>180</v>
      </c>
      <c r="K164" s="21">
        <v>1016.43</v>
      </c>
      <c r="L164" s="21">
        <v>476.43</v>
      </c>
    </row>
    <row r="165" spans="1:12" x14ac:dyDescent="0.35">
      <c r="A165" s="19" t="s">
        <v>295</v>
      </c>
      <c r="B165" s="20">
        <v>41780</v>
      </c>
      <c r="C165" s="19" t="s">
        <v>53</v>
      </c>
      <c r="D165" s="19" t="s">
        <v>67</v>
      </c>
      <c r="E165" s="19" t="s">
        <v>91</v>
      </c>
      <c r="F165" s="19" t="s">
        <v>140</v>
      </c>
      <c r="G165" s="19" t="s">
        <v>56</v>
      </c>
      <c r="H165" s="19">
        <v>4</v>
      </c>
      <c r="I165" s="21">
        <v>193.63</v>
      </c>
      <c r="J165" s="21">
        <v>95</v>
      </c>
      <c r="K165" s="21">
        <v>774.52</v>
      </c>
      <c r="L165" s="21">
        <v>394.52</v>
      </c>
    </row>
    <row r="166" spans="1:12" x14ac:dyDescent="0.35">
      <c r="A166" s="19" t="s">
        <v>296</v>
      </c>
      <c r="B166" s="20">
        <v>41781</v>
      </c>
      <c r="C166" s="19" t="s">
        <v>53</v>
      </c>
      <c r="D166" s="19" t="s">
        <v>64</v>
      </c>
      <c r="E166" s="19" t="s">
        <v>131</v>
      </c>
      <c r="F166" s="19" t="s">
        <v>156</v>
      </c>
      <c r="G166" s="19" t="s">
        <v>54</v>
      </c>
      <c r="H166" s="19">
        <v>1</v>
      </c>
      <c r="I166" s="21">
        <v>48.32</v>
      </c>
      <c r="J166" s="21">
        <v>18</v>
      </c>
      <c r="K166" s="21">
        <v>48.32</v>
      </c>
      <c r="L166" s="21">
        <v>30.32</v>
      </c>
    </row>
    <row r="167" spans="1:12" x14ac:dyDescent="0.35">
      <c r="A167" s="19" t="s">
        <v>297</v>
      </c>
      <c r="B167" s="20">
        <v>41782</v>
      </c>
      <c r="C167" s="19" t="s">
        <v>57</v>
      </c>
      <c r="D167" s="19" t="s">
        <v>66</v>
      </c>
      <c r="E167" s="19" t="s">
        <v>87</v>
      </c>
      <c r="F167" s="19" t="s">
        <v>125</v>
      </c>
      <c r="G167" s="19" t="s">
        <v>56</v>
      </c>
      <c r="H167" s="19">
        <v>1</v>
      </c>
      <c r="I167" s="21">
        <v>151.49</v>
      </c>
      <c r="J167" s="21">
        <v>70</v>
      </c>
      <c r="K167" s="21">
        <v>151.49</v>
      </c>
      <c r="L167" s="21">
        <v>81.489999999999995</v>
      </c>
    </row>
    <row r="168" spans="1:12" x14ac:dyDescent="0.35">
      <c r="A168" s="19" t="s">
        <v>298</v>
      </c>
      <c r="B168" s="20">
        <v>41782</v>
      </c>
      <c r="C168" s="19" t="s">
        <v>59</v>
      </c>
      <c r="D168" s="19" t="s">
        <v>61</v>
      </c>
      <c r="E168" s="19" t="s">
        <v>87</v>
      </c>
      <c r="F168" s="19" t="s">
        <v>128</v>
      </c>
      <c r="G168" s="19" t="s">
        <v>54</v>
      </c>
      <c r="H168" s="19">
        <v>5</v>
      </c>
      <c r="I168" s="21">
        <v>88.73</v>
      </c>
      <c r="J168" s="21">
        <v>40</v>
      </c>
      <c r="K168" s="21">
        <v>443.65</v>
      </c>
      <c r="L168" s="21">
        <v>243.65</v>
      </c>
    </row>
    <row r="169" spans="1:12" x14ac:dyDescent="0.35">
      <c r="A169" s="19" t="s">
        <v>299</v>
      </c>
      <c r="B169" s="20">
        <v>41782</v>
      </c>
      <c r="C169" s="19" t="s">
        <v>57</v>
      </c>
      <c r="D169" s="19" t="s">
        <v>66</v>
      </c>
      <c r="E169" s="19" t="s">
        <v>134</v>
      </c>
      <c r="F169" s="19" t="s">
        <v>137</v>
      </c>
      <c r="G169" s="19" t="s">
        <v>54</v>
      </c>
      <c r="H169" s="19">
        <v>2</v>
      </c>
      <c r="I169" s="21">
        <v>341.14</v>
      </c>
      <c r="J169" s="21">
        <v>180</v>
      </c>
      <c r="K169" s="21">
        <v>682.28</v>
      </c>
      <c r="L169" s="21">
        <v>322.27999999999997</v>
      </c>
    </row>
    <row r="170" spans="1:12" x14ac:dyDescent="0.35">
      <c r="A170" s="19" t="s">
        <v>300</v>
      </c>
      <c r="B170" s="20">
        <v>41784</v>
      </c>
      <c r="C170" s="19" t="s">
        <v>59</v>
      </c>
      <c r="D170" s="19" t="s">
        <v>68</v>
      </c>
      <c r="E170" s="19" t="s">
        <v>87</v>
      </c>
      <c r="F170" s="19" t="s">
        <v>115</v>
      </c>
      <c r="G170" s="19" t="s">
        <v>56</v>
      </c>
      <c r="H170" s="19">
        <v>3</v>
      </c>
      <c r="I170" s="21">
        <v>462.53</v>
      </c>
      <c r="J170" s="21">
        <v>220</v>
      </c>
      <c r="L170" s="21">
        <v>727.59</v>
      </c>
    </row>
    <row r="171" spans="1:12" x14ac:dyDescent="0.35">
      <c r="A171" s="19" t="s">
        <v>301</v>
      </c>
      <c r="B171" s="20">
        <v>41785</v>
      </c>
      <c r="C171" s="19" t="s">
        <v>55</v>
      </c>
      <c r="D171" s="19" t="s">
        <v>63</v>
      </c>
      <c r="E171" s="19" t="s">
        <v>100</v>
      </c>
      <c r="F171" s="19" t="s">
        <v>125</v>
      </c>
      <c r="G171" s="19" t="s">
        <v>56</v>
      </c>
      <c r="H171" s="19">
        <v>2</v>
      </c>
      <c r="I171" s="21">
        <v>165.97</v>
      </c>
      <c r="J171" s="21">
        <v>70</v>
      </c>
      <c r="K171" s="21">
        <v>331.94</v>
      </c>
    </row>
    <row r="172" spans="1:12" x14ac:dyDescent="0.35">
      <c r="A172" s="19" t="s">
        <v>302</v>
      </c>
      <c r="B172" s="20">
        <v>41785</v>
      </c>
      <c r="C172" s="19" t="s">
        <v>57</v>
      </c>
      <c r="D172" s="19" t="s">
        <v>66</v>
      </c>
      <c r="E172" s="19" t="s">
        <v>150</v>
      </c>
      <c r="F172" s="19" t="s">
        <v>123</v>
      </c>
      <c r="G172" s="19" t="s">
        <v>54</v>
      </c>
      <c r="H172" s="19">
        <v>4</v>
      </c>
      <c r="I172" s="21">
        <v>70.989999999999995</v>
      </c>
      <c r="J172" s="21">
        <v>28</v>
      </c>
      <c r="K172" s="21">
        <v>283.95999999999998</v>
      </c>
      <c r="L172" s="21">
        <v>171.96</v>
      </c>
    </row>
    <row r="173" spans="1:12" x14ac:dyDescent="0.35">
      <c r="A173" s="19" t="s">
        <v>303</v>
      </c>
      <c r="B173" s="20">
        <v>41786</v>
      </c>
      <c r="C173" s="19" t="s">
        <v>55</v>
      </c>
      <c r="D173" s="19" t="s">
        <v>63</v>
      </c>
      <c r="E173" s="19" t="s">
        <v>150</v>
      </c>
      <c r="F173" s="19" t="s">
        <v>128</v>
      </c>
      <c r="G173" s="19" t="s">
        <v>54</v>
      </c>
      <c r="H173" s="19">
        <v>2</v>
      </c>
      <c r="I173" s="21">
        <v>84.6</v>
      </c>
      <c r="J173" s="21">
        <v>40</v>
      </c>
      <c r="K173" s="21">
        <v>169.2</v>
      </c>
      <c r="L173" s="21">
        <v>89.2</v>
      </c>
    </row>
    <row r="174" spans="1:12" x14ac:dyDescent="0.35">
      <c r="A174" s="19" t="s">
        <v>304</v>
      </c>
      <c r="B174" s="20">
        <v>41787</v>
      </c>
      <c r="C174" s="19" t="s">
        <v>53</v>
      </c>
      <c r="D174" s="19" t="s">
        <v>64</v>
      </c>
      <c r="E174" s="19" t="s">
        <v>98</v>
      </c>
      <c r="F174" s="19" t="s">
        <v>125</v>
      </c>
      <c r="G174" s="19" t="s">
        <v>56</v>
      </c>
      <c r="H174" s="19">
        <v>1</v>
      </c>
      <c r="I174" s="21">
        <v>161.49</v>
      </c>
      <c r="J174" s="21">
        <v>70</v>
      </c>
      <c r="K174" s="21">
        <v>161.49</v>
      </c>
      <c r="L174" s="21">
        <v>91.49</v>
      </c>
    </row>
    <row r="175" spans="1:12" x14ac:dyDescent="0.35">
      <c r="A175" s="19" t="s">
        <v>305</v>
      </c>
      <c r="B175" s="20">
        <v>41789</v>
      </c>
      <c r="C175" s="19" t="s">
        <v>53</v>
      </c>
      <c r="D175" s="19" t="s">
        <v>64</v>
      </c>
      <c r="E175" s="19" t="s">
        <v>117</v>
      </c>
      <c r="F175" s="19" t="s">
        <v>128</v>
      </c>
      <c r="G175" s="19" t="s">
        <v>54</v>
      </c>
      <c r="H175" s="19">
        <v>1</v>
      </c>
      <c r="I175" s="21">
        <v>93.2</v>
      </c>
      <c r="J175" s="21">
        <v>40</v>
      </c>
      <c r="K175" s="21">
        <v>93.2</v>
      </c>
      <c r="L175" s="21">
        <v>53.2</v>
      </c>
    </row>
    <row r="176" spans="1:12" x14ac:dyDescent="0.35">
      <c r="A176" s="19" t="s">
        <v>306</v>
      </c>
      <c r="B176" s="20">
        <v>41791</v>
      </c>
      <c r="C176" s="19" t="s">
        <v>57</v>
      </c>
      <c r="D176" s="19" t="s">
        <v>66</v>
      </c>
      <c r="E176" s="19" t="s">
        <v>134</v>
      </c>
      <c r="F176" s="19" t="s">
        <v>118</v>
      </c>
      <c r="G176" s="19" t="s">
        <v>54</v>
      </c>
      <c r="H176" s="19">
        <v>1</v>
      </c>
      <c r="I176" s="21">
        <v>40.98</v>
      </c>
      <c r="J176" s="21">
        <v>12</v>
      </c>
      <c r="K176" s="21">
        <v>40.98</v>
      </c>
      <c r="L176" s="21">
        <v>28.98</v>
      </c>
    </row>
    <row r="177" spans="1:12" x14ac:dyDescent="0.35">
      <c r="A177" s="19" t="s">
        <v>307</v>
      </c>
      <c r="B177" s="20">
        <v>41792</v>
      </c>
      <c r="C177" s="19" t="s">
        <v>53</v>
      </c>
      <c r="D177" s="19" t="s">
        <v>64</v>
      </c>
      <c r="E177" s="19" t="s">
        <v>139</v>
      </c>
      <c r="F177" s="19" t="s">
        <v>128</v>
      </c>
      <c r="G177" s="19" t="s">
        <v>54</v>
      </c>
      <c r="H177" s="19">
        <v>1</v>
      </c>
      <c r="I177" s="21">
        <v>118.33</v>
      </c>
      <c r="J177" s="21">
        <v>40</v>
      </c>
      <c r="K177" s="21">
        <v>118.33</v>
      </c>
      <c r="L177" s="21">
        <v>78.33</v>
      </c>
    </row>
    <row r="178" spans="1:12" x14ac:dyDescent="0.35">
      <c r="A178" s="19" t="s">
        <v>308</v>
      </c>
      <c r="B178" s="20">
        <v>41792</v>
      </c>
      <c r="C178" s="19" t="s">
        <v>55</v>
      </c>
      <c r="D178" s="19" t="s">
        <v>63</v>
      </c>
      <c r="E178" s="19" t="s">
        <v>100</v>
      </c>
      <c r="F178" s="19" t="s">
        <v>132</v>
      </c>
      <c r="G178" s="19" t="s">
        <v>56</v>
      </c>
      <c r="H178" s="19">
        <v>2</v>
      </c>
      <c r="I178" s="21">
        <v>54.35</v>
      </c>
      <c r="J178" s="21">
        <v>15</v>
      </c>
      <c r="K178" s="21">
        <v>108.7</v>
      </c>
      <c r="L178" s="21">
        <v>78.7</v>
      </c>
    </row>
    <row r="179" spans="1:12" x14ac:dyDescent="0.35">
      <c r="A179" s="19" t="s">
        <v>309</v>
      </c>
      <c r="B179" s="20">
        <v>41793</v>
      </c>
      <c r="C179" s="19" t="s">
        <v>53</v>
      </c>
      <c r="D179" s="19" t="s">
        <v>64</v>
      </c>
      <c r="E179" s="19" t="s">
        <v>146</v>
      </c>
      <c r="F179" s="19" t="s">
        <v>132</v>
      </c>
      <c r="G179" s="19" t="s">
        <v>56</v>
      </c>
      <c r="H179" s="19">
        <v>3</v>
      </c>
      <c r="I179" s="21">
        <v>52.94</v>
      </c>
      <c r="J179" s="21">
        <v>15</v>
      </c>
      <c r="K179" s="21">
        <v>158.82</v>
      </c>
      <c r="L179" s="21">
        <v>113.82</v>
      </c>
    </row>
    <row r="180" spans="1:12" x14ac:dyDescent="0.35">
      <c r="A180" s="19" t="s">
        <v>310</v>
      </c>
      <c r="B180" s="20">
        <v>41793</v>
      </c>
      <c r="C180" s="19" t="s">
        <v>57</v>
      </c>
      <c r="D180" s="19" t="s">
        <v>566</v>
      </c>
      <c r="E180" s="19" t="s">
        <v>100</v>
      </c>
      <c r="F180" s="19" t="s">
        <v>125</v>
      </c>
      <c r="G180" s="19" t="s">
        <v>56</v>
      </c>
      <c r="H180" s="19">
        <v>2</v>
      </c>
      <c r="I180" s="21">
        <v>216</v>
      </c>
      <c r="J180" s="21">
        <v>70</v>
      </c>
      <c r="K180" s="21">
        <v>432</v>
      </c>
      <c r="L180" s="21">
        <v>292</v>
      </c>
    </row>
    <row r="181" spans="1:12" x14ac:dyDescent="0.35">
      <c r="A181" s="19" t="s">
        <v>311</v>
      </c>
      <c r="B181" s="20">
        <v>41793</v>
      </c>
      <c r="C181" s="19" t="s">
        <v>57</v>
      </c>
      <c r="D181" s="19" t="s">
        <v>66</v>
      </c>
      <c r="E181" s="19" t="s">
        <v>153</v>
      </c>
      <c r="F181" s="19" t="s">
        <v>125</v>
      </c>
      <c r="G181" s="19" t="s">
        <v>56</v>
      </c>
      <c r="H181" s="19">
        <v>2</v>
      </c>
      <c r="I181" s="21">
        <v>208.23</v>
      </c>
      <c r="J181" s="21">
        <v>70</v>
      </c>
      <c r="L181" s="21">
        <v>276.45999999999998</v>
      </c>
    </row>
    <row r="182" spans="1:12" x14ac:dyDescent="0.35">
      <c r="A182" s="19" t="s">
        <v>312</v>
      </c>
      <c r="B182" s="20">
        <v>41794</v>
      </c>
      <c r="C182" s="19" t="s">
        <v>59</v>
      </c>
      <c r="D182" s="19" t="s">
        <v>68</v>
      </c>
      <c r="E182" s="19" t="s">
        <v>91</v>
      </c>
      <c r="F182" s="19" t="s">
        <v>125</v>
      </c>
      <c r="G182" s="19" t="s">
        <v>56</v>
      </c>
      <c r="H182" s="19">
        <v>1</v>
      </c>
      <c r="I182" s="21">
        <v>216.92</v>
      </c>
      <c r="J182" s="21">
        <v>70</v>
      </c>
      <c r="K182" s="21">
        <v>216.92</v>
      </c>
      <c r="L182" s="21">
        <v>146.91999999999999</v>
      </c>
    </row>
    <row r="183" spans="1:12" x14ac:dyDescent="0.35">
      <c r="A183" s="19" t="s">
        <v>313</v>
      </c>
      <c r="B183" s="20">
        <v>41794</v>
      </c>
      <c r="C183" s="19" t="s">
        <v>560</v>
      </c>
      <c r="D183" s="19" t="s">
        <v>62</v>
      </c>
      <c r="E183" s="19" t="s">
        <v>153</v>
      </c>
      <c r="F183" s="19" t="s">
        <v>128</v>
      </c>
      <c r="G183" s="19" t="s">
        <v>54</v>
      </c>
      <c r="H183" s="19">
        <v>1</v>
      </c>
      <c r="I183" s="21">
        <v>124.02</v>
      </c>
      <c r="J183" s="21">
        <v>40</v>
      </c>
      <c r="K183" s="21">
        <v>124.02</v>
      </c>
      <c r="L183" s="21">
        <v>84.02</v>
      </c>
    </row>
    <row r="184" spans="1:12" x14ac:dyDescent="0.35">
      <c r="A184" s="19" t="s">
        <v>314</v>
      </c>
      <c r="B184" s="20">
        <v>41795</v>
      </c>
      <c r="C184" s="19" t="s">
        <v>554</v>
      </c>
      <c r="D184" s="19" t="s">
        <v>68</v>
      </c>
      <c r="E184" s="19" t="s">
        <v>100</v>
      </c>
      <c r="F184" s="19" t="s">
        <v>125</v>
      </c>
      <c r="G184" s="19" t="s">
        <v>56</v>
      </c>
      <c r="H184" s="19">
        <v>2</v>
      </c>
      <c r="I184" s="21">
        <v>205.64</v>
      </c>
      <c r="J184" s="21">
        <v>70</v>
      </c>
      <c r="K184" s="21">
        <v>411.28</v>
      </c>
      <c r="L184" s="21">
        <v>271.27999999999997</v>
      </c>
    </row>
    <row r="185" spans="1:12" x14ac:dyDescent="0.35">
      <c r="A185" s="19" t="s">
        <v>315</v>
      </c>
      <c r="B185" s="20">
        <v>41797</v>
      </c>
      <c r="C185" s="19" t="s">
        <v>55</v>
      </c>
      <c r="D185" s="19" t="s">
        <v>63</v>
      </c>
      <c r="E185" s="19" t="s">
        <v>164</v>
      </c>
      <c r="F185" s="19" t="s">
        <v>118</v>
      </c>
      <c r="G185" s="19" t="s">
        <v>54</v>
      </c>
      <c r="H185" s="19">
        <v>1</v>
      </c>
      <c r="I185" s="21">
        <v>39.880000000000003</v>
      </c>
      <c r="J185" s="21">
        <v>12</v>
      </c>
      <c r="L185" s="21">
        <v>27.88</v>
      </c>
    </row>
    <row r="186" spans="1:12" x14ac:dyDescent="0.35">
      <c r="A186" s="19" t="s">
        <v>316</v>
      </c>
      <c r="B186" s="20">
        <v>41797</v>
      </c>
      <c r="C186" s="19" t="s">
        <v>59</v>
      </c>
      <c r="D186" s="19" t="s">
        <v>68</v>
      </c>
      <c r="E186" s="19" t="s">
        <v>153</v>
      </c>
      <c r="F186" s="19" t="s">
        <v>142</v>
      </c>
      <c r="G186" s="19" t="s">
        <v>58</v>
      </c>
      <c r="H186" s="19">
        <v>1</v>
      </c>
      <c r="I186" s="21">
        <v>16.95</v>
      </c>
      <c r="J186" s="21">
        <v>4</v>
      </c>
      <c r="K186" s="21">
        <v>16.95</v>
      </c>
      <c r="L186" s="21">
        <v>12.95</v>
      </c>
    </row>
    <row r="187" spans="1:12" x14ac:dyDescent="0.35">
      <c r="A187" s="19" t="s">
        <v>317</v>
      </c>
      <c r="B187" s="20">
        <v>41798</v>
      </c>
      <c r="C187" s="19" t="s">
        <v>59</v>
      </c>
      <c r="D187" s="19" t="s">
        <v>68</v>
      </c>
      <c r="E187" s="19" t="s">
        <v>100</v>
      </c>
      <c r="F187" s="19" t="s">
        <v>128</v>
      </c>
      <c r="G187" s="19" t="s">
        <v>54</v>
      </c>
      <c r="H187" s="19">
        <v>1</v>
      </c>
      <c r="I187" s="21">
        <v>123.19</v>
      </c>
      <c r="J187" s="21">
        <v>40</v>
      </c>
      <c r="K187" s="21">
        <v>123.19</v>
      </c>
      <c r="L187" s="21">
        <v>83.19</v>
      </c>
    </row>
    <row r="188" spans="1:12" x14ac:dyDescent="0.35">
      <c r="A188" s="19" t="s">
        <v>318</v>
      </c>
      <c r="B188" s="20">
        <v>41798</v>
      </c>
      <c r="C188" s="19" t="s">
        <v>59</v>
      </c>
      <c r="D188" s="19" t="s">
        <v>564</v>
      </c>
      <c r="E188" s="19" t="s">
        <v>164</v>
      </c>
      <c r="F188" s="19" t="s">
        <v>140</v>
      </c>
      <c r="G188" s="19" t="s">
        <v>56</v>
      </c>
      <c r="H188" s="19">
        <v>1</v>
      </c>
      <c r="I188" s="21">
        <v>247.98</v>
      </c>
      <c r="J188" s="21">
        <v>95</v>
      </c>
      <c r="K188" s="21">
        <v>247.98</v>
      </c>
      <c r="L188" s="21">
        <v>152.97999999999999</v>
      </c>
    </row>
    <row r="189" spans="1:12" x14ac:dyDescent="0.35">
      <c r="A189" s="19" t="s">
        <v>319</v>
      </c>
      <c r="B189" s="20">
        <v>41801</v>
      </c>
      <c r="C189" s="19" t="s">
        <v>53</v>
      </c>
      <c r="D189" s="19" t="s">
        <v>67</v>
      </c>
      <c r="E189" s="19" t="s">
        <v>98</v>
      </c>
      <c r="F189" s="19" t="s">
        <v>115</v>
      </c>
      <c r="G189" s="19" t="s">
        <v>56</v>
      </c>
      <c r="H189" s="19">
        <v>3</v>
      </c>
      <c r="I189" s="21">
        <v>619.04</v>
      </c>
      <c r="J189" s="21">
        <v>220</v>
      </c>
      <c r="K189" s="21">
        <v>1857.12</v>
      </c>
      <c r="L189" s="21">
        <v>1197.1199999999999</v>
      </c>
    </row>
    <row r="190" spans="1:12" x14ac:dyDescent="0.35">
      <c r="A190" s="19" t="s">
        <v>320</v>
      </c>
      <c r="B190" s="20">
        <v>41801</v>
      </c>
      <c r="C190" s="19" t="s">
        <v>59</v>
      </c>
      <c r="D190" s="19" t="s">
        <v>68</v>
      </c>
      <c r="E190" s="19" t="s">
        <v>139</v>
      </c>
      <c r="F190" s="19" t="s">
        <v>137</v>
      </c>
      <c r="G190" s="19" t="s">
        <v>54</v>
      </c>
      <c r="H190" s="19">
        <v>1</v>
      </c>
      <c r="I190" s="21">
        <v>434.02</v>
      </c>
      <c r="J190" s="21">
        <v>180</v>
      </c>
      <c r="K190" s="21">
        <v>434.02</v>
      </c>
      <c r="L190" s="21">
        <v>254.02</v>
      </c>
    </row>
    <row r="191" spans="1:12" x14ac:dyDescent="0.35">
      <c r="A191" s="19" t="s">
        <v>321</v>
      </c>
      <c r="B191" s="20">
        <v>41802</v>
      </c>
      <c r="C191" s="19" t="s">
        <v>59</v>
      </c>
      <c r="D191" s="19" t="s">
        <v>61</v>
      </c>
      <c r="E191" s="19" t="s">
        <v>131</v>
      </c>
      <c r="F191" s="19" t="s">
        <v>123</v>
      </c>
      <c r="G191" s="19" t="s">
        <v>54</v>
      </c>
      <c r="H191" s="19">
        <v>2</v>
      </c>
      <c r="I191" s="21">
        <v>93.58</v>
      </c>
      <c r="J191" s="21">
        <v>28</v>
      </c>
      <c r="K191" s="21">
        <v>187.16</v>
      </c>
      <c r="L191" s="21">
        <v>131.16</v>
      </c>
    </row>
    <row r="192" spans="1:12" x14ac:dyDescent="0.35">
      <c r="A192" s="19" t="s">
        <v>322</v>
      </c>
      <c r="B192" s="20">
        <v>41803</v>
      </c>
      <c r="C192" s="19" t="s">
        <v>55</v>
      </c>
      <c r="D192" s="19" t="s">
        <v>62</v>
      </c>
      <c r="E192" s="19" t="s">
        <v>87</v>
      </c>
      <c r="F192" s="19" t="s">
        <v>115</v>
      </c>
      <c r="G192" s="19" t="s">
        <v>56</v>
      </c>
      <c r="H192" s="19">
        <v>3</v>
      </c>
      <c r="I192" s="21">
        <v>579.74</v>
      </c>
      <c r="J192" s="21">
        <v>220</v>
      </c>
      <c r="K192" s="21">
        <v>1739.22</v>
      </c>
      <c r="L192" s="21">
        <v>1079.22</v>
      </c>
    </row>
    <row r="193" spans="1:12" x14ac:dyDescent="0.35">
      <c r="A193" s="19" t="s">
        <v>323</v>
      </c>
      <c r="B193" s="20">
        <v>41803</v>
      </c>
      <c r="C193" s="19" t="s">
        <v>55</v>
      </c>
      <c r="D193" s="19" t="s">
        <v>65</v>
      </c>
      <c r="E193" s="19" t="s">
        <v>87</v>
      </c>
      <c r="F193" s="19" t="s">
        <v>140</v>
      </c>
      <c r="G193" s="19" t="s">
        <v>56</v>
      </c>
      <c r="H193" s="19">
        <v>2</v>
      </c>
      <c r="I193" s="21">
        <v>248.04</v>
      </c>
      <c r="J193" s="21">
        <v>95</v>
      </c>
      <c r="K193" s="21">
        <v>496.08</v>
      </c>
      <c r="L193" s="21">
        <v>306.08</v>
      </c>
    </row>
    <row r="194" spans="1:12" x14ac:dyDescent="0.35">
      <c r="A194" s="19" t="s">
        <v>324</v>
      </c>
      <c r="B194" s="20">
        <v>41804</v>
      </c>
      <c r="C194" s="19" t="s">
        <v>57</v>
      </c>
      <c r="D194" s="19" t="s">
        <v>61</v>
      </c>
      <c r="E194" s="19" t="s">
        <v>98</v>
      </c>
      <c r="F194" s="19" t="s">
        <v>123</v>
      </c>
      <c r="G194" s="19" t="s">
        <v>54</v>
      </c>
      <c r="H194" s="19">
        <v>2</v>
      </c>
      <c r="I194" s="21">
        <v>91.52</v>
      </c>
      <c r="J194" s="21">
        <v>28</v>
      </c>
      <c r="K194" s="21">
        <v>183.04</v>
      </c>
      <c r="L194" s="21">
        <v>127.04</v>
      </c>
    </row>
    <row r="195" spans="1:12" x14ac:dyDescent="0.35">
      <c r="A195" s="19" t="s">
        <v>325</v>
      </c>
      <c r="B195" s="20">
        <v>41804</v>
      </c>
      <c r="C195" s="19" t="s">
        <v>55</v>
      </c>
      <c r="D195" s="19" t="s">
        <v>65</v>
      </c>
      <c r="E195" s="19" t="s">
        <v>150</v>
      </c>
      <c r="F195" s="19" t="s">
        <v>125</v>
      </c>
      <c r="G195" s="19" t="s">
        <v>56</v>
      </c>
      <c r="H195" s="19">
        <v>1</v>
      </c>
      <c r="I195" s="21">
        <v>210.37</v>
      </c>
      <c r="J195" s="21">
        <v>70</v>
      </c>
      <c r="K195" s="21">
        <v>210.37</v>
      </c>
      <c r="L195" s="21">
        <v>140.37</v>
      </c>
    </row>
    <row r="196" spans="1:12" x14ac:dyDescent="0.35">
      <c r="A196" s="19" t="s">
        <v>326</v>
      </c>
      <c r="B196" s="20">
        <v>41804</v>
      </c>
      <c r="C196" s="19" t="s">
        <v>55</v>
      </c>
      <c r="D196" s="19" t="s">
        <v>65</v>
      </c>
      <c r="E196" s="19" t="s">
        <v>150</v>
      </c>
      <c r="F196" s="19" t="s">
        <v>132</v>
      </c>
      <c r="G196" s="19" t="s">
        <v>56</v>
      </c>
      <c r="H196" s="19">
        <v>5</v>
      </c>
      <c r="I196" s="21">
        <v>51.55</v>
      </c>
      <c r="J196" s="21">
        <v>15</v>
      </c>
      <c r="K196" s="21">
        <v>257.75</v>
      </c>
      <c r="L196" s="21">
        <v>182.75</v>
      </c>
    </row>
    <row r="197" spans="1:12" x14ac:dyDescent="0.35">
      <c r="A197" s="19" t="s">
        <v>327</v>
      </c>
      <c r="B197" s="20">
        <v>41806</v>
      </c>
      <c r="C197" s="19" t="s">
        <v>53</v>
      </c>
      <c r="D197" s="19" t="s">
        <v>64</v>
      </c>
      <c r="E197" s="19" t="s">
        <v>139</v>
      </c>
      <c r="F197" s="19" t="s">
        <v>142</v>
      </c>
      <c r="G197" s="19" t="s">
        <v>58</v>
      </c>
      <c r="H197" s="19">
        <v>1</v>
      </c>
      <c r="I197" s="21">
        <v>16.899999999999999</v>
      </c>
      <c r="J197" s="21">
        <v>4</v>
      </c>
      <c r="K197" s="21">
        <v>16.899999999999999</v>
      </c>
      <c r="L197" s="21">
        <v>12.9</v>
      </c>
    </row>
    <row r="198" spans="1:12" x14ac:dyDescent="0.35">
      <c r="A198" s="19" t="s">
        <v>328</v>
      </c>
      <c r="B198" s="20">
        <v>41807</v>
      </c>
      <c r="C198" s="19" t="s">
        <v>55</v>
      </c>
      <c r="D198" s="19" t="s">
        <v>61</v>
      </c>
      <c r="E198" s="19" t="s">
        <v>562</v>
      </c>
      <c r="F198" s="19" t="s">
        <v>132</v>
      </c>
      <c r="G198" s="19" t="s">
        <v>56</v>
      </c>
      <c r="H198" s="19">
        <v>2</v>
      </c>
      <c r="I198" s="21">
        <v>53.58</v>
      </c>
      <c r="J198" s="21">
        <v>15</v>
      </c>
      <c r="K198" s="21">
        <v>107.16</v>
      </c>
      <c r="L198" s="21">
        <v>77.16</v>
      </c>
    </row>
    <row r="199" spans="1:12" x14ac:dyDescent="0.35">
      <c r="A199" s="19" t="s">
        <v>329</v>
      </c>
      <c r="B199" s="20">
        <v>41808</v>
      </c>
      <c r="C199" s="19" t="s">
        <v>57</v>
      </c>
      <c r="D199" s="19" t="s">
        <v>66</v>
      </c>
      <c r="E199" s="19" t="s">
        <v>98</v>
      </c>
      <c r="F199" s="19" t="s">
        <v>142</v>
      </c>
      <c r="G199" s="19" t="s">
        <v>58</v>
      </c>
      <c r="H199" s="19">
        <v>4</v>
      </c>
      <c r="I199" s="21">
        <v>16.190000000000001</v>
      </c>
      <c r="J199" s="21">
        <v>4</v>
      </c>
      <c r="K199" s="21">
        <v>64.760000000000005</v>
      </c>
      <c r="L199" s="21">
        <v>48.76</v>
      </c>
    </row>
    <row r="200" spans="1:12" x14ac:dyDescent="0.35">
      <c r="A200" s="19" t="s">
        <v>330</v>
      </c>
      <c r="B200" s="20">
        <v>41809</v>
      </c>
      <c r="C200" s="19" t="s">
        <v>53</v>
      </c>
      <c r="D200" s="19" t="s">
        <v>68</v>
      </c>
      <c r="E200" s="19" t="s">
        <v>144</v>
      </c>
      <c r="F200" s="19" t="s">
        <v>156</v>
      </c>
      <c r="G200" s="19" t="s">
        <v>54</v>
      </c>
      <c r="H200" s="19">
        <v>2</v>
      </c>
      <c r="I200" s="21">
        <v>66.27</v>
      </c>
      <c r="J200" s="21">
        <v>18</v>
      </c>
      <c r="L200" s="21">
        <v>96.54</v>
      </c>
    </row>
    <row r="201" spans="1:12" x14ac:dyDescent="0.35">
      <c r="A201" s="19" t="s">
        <v>331</v>
      </c>
      <c r="B201" s="20">
        <v>41809</v>
      </c>
      <c r="C201" s="19" t="s">
        <v>57</v>
      </c>
      <c r="D201" s="19" t="s">
        <v>66</v>
      </c>
      <c r="E201" s="19" t="s">
        <v>144</v>
      </c>
      <c r="F201" s="19" t="s">
        <v>128</v>
      </c>
      <c r="G201" s="19" t="s">
        <v>54</v>
      </c>
      <c r="H201" s="19">
        <v>4</v>
      </c>
      <c r="I201" s="21">
        <v>119.8</v>
      </c>
      <c r="J201" s="21">
        <v>40</v>
      </c>
      <c r="K201" s="21">
        <v>479.2</v>
      </c>
      <c r="L201" s="21">
        <v>319.2</v>
      </c>
    </row>
    <row r="202" spans="1:12" x14ac:dyDescent="0.35">
      <c r="A202" s="19" t="s">
        <v>332</v>
      </c>
      <c r="B202" s="20">
        <v>41810</v>
      </c>
      <c r="C202" s="19" t="s">
        <v>57</v>
      </c>
      <c r="D202" s="19" t="s">
        <v>62</v>
      </c>
      <c r="E202" s="19" t="s">
        <v>150</v>
      </c>
      <c r="F202" s="19" t="s">
        <v>137</v>
      </c>
      <c r="G202" s="19" t="s">
        <v>54</v>
      </c>
      <c r="H202" s="19">
        <v>1</v>
      </c>
      <c r="I202" s="21">
        <v>451.08</v>
      </c>
      <c r="J202" s="21">
        <v>180</v>
      </c>
      <c r="K202" s="21">
        <v>451.08</v>
      </c>
      <c r="L202" s="21">
        <v>271.08</v>
      </c>
    </row>
    <row r="203" spans="1:12" x14ac:dyDescent="0.35">
      <c r="A203" s="19" t="s">
        <v>333</v>
      </c>
      <c r="B203" s="20">
        <v>41810</v>
      </c>
      <c r="C203" s="19" t="s">
        <v>59</v>
      </c>
      <c r="D203" s="19" t="s">
        <v>68</v>
      </c>
      <c r="E203" s="19" t="s">
        <v>146</v>
      </c>
      <c r="F203" s="19" t="s">
        <v>128</v>
      </c>
      <c r="G203" s="19" t="s">
        <v>54</v>
      </c>
      <c r="H203" s="19">
        <v>1</v>
      </c>
      <c r="I203" s="21">
        <v>123.94</v>
      </c>
      <c r="J203" s="21">
        <v>40</v>
      </c>
      <c r="K203" s="21">
        <v>123.94</v>
      </c>
      <c r="L203" s="21">
        <v>83.94</v>
      </c>
    </row>
    <row r="204" spans="1:12" x14ac:dyDescent="0.35">
      <c r="A204" s="19" t="s">
        <v>334</v>
      </c>
      <c r="B204" s="20">
        <v>41811</v>
      </c>
      <c r="C204" s="19" t="s">
        <v>57</v>
      </c>
      <c r="D204" s="19" t="s">
        <v>62</v>
      </c>
      <c r="E204" s="19" t="s">
        <v>100</v>
      </c>
      <c r="F204" s="19" t="s">
        <v>132</v>
      </c>
      <c r="G204" s="19" t="s">
        <v>56</v>
      </c>
      <c r="H204" s="19">
        <v>1</v>
      </c>
      <c r="I204" s="21">
        <v>53.83</v>
      </c>
      <c r="J204" s="21">
        <v>15</v>
      </c>
      <c r="K204" s="21">
        <v>53.83</v>
      </c>
      <c r="L204" s="21">
        <v>38.83</v>
      </c>
    </row>
    <row r="205" spans="1:12" x14ac:dyDescent="0.35">
      <c r="A205" s="19" t="s">
        <v>335</v>
      </c>
      <c r="B205" s="20">
        <v>41811</v>
      </c>
      <c r="C205" s="19" t="s">
        <v>53</v>
      </c>
      <c r="D205" s="19" t="s">
        <v>67</v>
      </c>
      <c r="E205" s="19" t="s">
        <v>87</v>
      </c>
      <c r="F205" s="19" t="s">
        <v>142</v>
      </c>
      <c r="G205" s="19" t="s">
        <v>58</v>
      </c>
      <c r="H205" s="19">
        <v>1</v>
      </c>
      <c r="I205" s="21">
        <v>16.93</v>
      </c>
      <c r="J205" s="21">
        <v>4</v>
      </c>
      <c r="L205" s="21">
        <v>12.93</v>
      </c>
    </row>
    <row r="206" spans="1:12" x14ac:dyDescent="0.35">
      <c r="A206" s="19" t="s">
        <v>336</v>
      </c>
      <c r="B206" s="20">
        <v>41812</v>
      </c>
      <c r="C206" s="19" t="s">
        <v>53</v>
      </c>
      <c r="D206" s="19" t="s">
        <v>64</v>
      </c>
      <c r="E206" s="19" t="s">
        <v>134</v>
      </c>
      <c r="F206" s="19" t="s">
        <v>128</v>
      </c>
      <c r="G206" s="19" t="s">
        <v>54</v>
      </c>
      <c r="H206" s="19">
        <v>2</v>
      </c>
      <c r="I206" s="21">
        <v>122.95</v>
      </c>
      <c r="J206" s="21">
        <v>40</v>
      </c>
      <c r="K206" s="21">
        <v>245.9</v>
      </c>
      <c r="L206" s="21">
        <v>165.9</v>
      </c>
    </row>
    <row r="207" spans="1:12" x14ac:dyDescent="0.35">
      <c r="A207" s="19" t="s">
        <v>337</v>
      </c>
      <c r="B207" s="20">
        <v>41813</v>
      </c>
      <c r="C207" s="19" t="s">
        <v>57</v>
      </c>
      <c r="D207" s="19" t="s">
        <v>62</v>
      </c>
      <c r="E207" s="19" t="s">
        <v>89</v>
      </c>
      <c r="F207" s="19" t="s">
        <v>123</v>
      </c>
      <c r="G207" s="19" t="s">
        <v>54</v>
      </c>
      <c r="H207" s="19">
        <v>1</v>
      </c>
      <c r="I207" s="21">
        <v>96.8</v>
      </c>
      <c r="J207" s="21">
        <v>28</v>
      </c>
      <c r="K207" s="21">
        <v>96.8</v>
      </c>
      <c r="L207" s="21">
        <v>68.8</v>
      </c>
    </row>
    <row r="208" spans="1:12" x14ac:dyDescent="0.35">
      <c r="A208" s="19" t="s">
        <v>338</v>
      </c>
      <c r="B208" s="20">
        <v>41816</v>
      </c>
      <c r="C208" s="19" t="s">
        <v>59</v>
      </c>
      <c r="D208" s="19" t="s">
        <v>61</v>
      </c>
      <c r="E208" s="19" t="s">
        <v>144</v>
      </c>
      <c r="F208" s="19" t="s">
        <v>118</v>
      </c>
      <c r="G208" s="19" t="s">
        <v>54</v>
      </c>
      <c r="H208" s="19">
        <v>1</v>
      </c>
      <c r="I208" s="21">
        <v>38.71</v>
      </c>
      <c r="J208" s="21">
        <v>12</v>
      </c>
      <c r="K208" s="21">
        <v>38.71</v>
      </c>
      <c r="L208" s="21">
        <v>26.71</v>
      </c>
    </row>
    <row r="209" spans="1:12" x14ac:dyDescent="0.35">
      <c r="A209" s="19" t="s">
        <v>339</v>
      </c>
      <c r="B209" s="20">
        <v>41816</v>
      </c>
      <c r="C209" s="19" t="s">
        <v>554</v>
      </c>
      <c r="D209" s="19" t="s">
        <v>64</v>
      </c>
      <c r="E209" s="19" t="s">
        <v>100</v>
      </c>
      <c r="F209" s="19" t="s">
        <v>123</v>
      </c>
      <c r="G209" s="19" t="s">
        <v>54</v>
      </c>
      <c r="H209" s="19">
        <v>1</v>
      </c>
      <c r="I209" s="21">
        <v>89.1</v>
      </c>
      <c r="J209" s="21">
        <v>28</v>
      </c>
      <c r="K209" s="21">
        <v>89.1</v>
      </c>
      <c r="L209" s="21">
        <v>61.1</v>
      </c>
    </row>
    <row r="210" spans="1:12" x14ac:dyDescent="0.35">
      <c r="A210" s="19" t="s">
        <v>340</v>
      </c>
      <c r="B210" s="20">
        <v>41816</v>
      </c>
      <c r="C210" s="19" t="s">
        <v>55</v>
      </c>
      <c r="D210" s="19" t="s">
        <v>65</v>
      </c>
      <c r="E210" s="19" t="s">
        <v>91</v>
      </c>
      <c r="F210" s="19" t="s">
        <v>125</v>
      </c>
      <c r="G210" s="19" t="s">
        <v>56</v>
      </c>
      <c r="H210" s="19">
        <v>1</v>
      </c>
      <c r="I210" s="21">
        <v>207.87</v>
      </c>
      <c r="J210" s="21">
        <v>70</v>
      </c>
      <c r="K210" s="21">
        <v>207.87</v>
      </c>
      <c r="L210" s="21">
        <v>137.87</v>
      </c>
    </row>
    <row r="211" spans="1:12" x14ac:dyDescent="0.35">
      <c r="A211" s="19" t="s">
        <v>341</v>
      </c>
      <c r="B211" s="20">
        <v>41817</v>
      </c>
      <c r="C211" s="19" t="s">
        <v>55</v>
      </c>
      <c r="D211" s="19" t="s">
        <v>63</v>
      </c>
      <c r="E211" s="19" t="s">
        <v>139</v>
      </c>
      <c r="F211" s="19" t="s">
        <v>128</v>
      </c>
      <c r="G211" s="19" t="s">
        <v>54</v>
      </c>
      <c r="H211" s="19">
        <v>1</v>
      </c>
      <c r="I211" s="21">
        <v>124.09</v>
      </c>
      <c r="J211" s="21">
        <v>40</v>
      </c>
      <c r="K211" s="21">
        <v>124.09</v>
      </c>
      <c r="L211" s="21">
        <v>84.09</v>
      </c>
    </row>
    <row r="212" spans="1:12" x14ac:dyDescent="0.35">
      <c r="A212" s="19" t="s">
        <v>342</v>
      </c>
      <c r="B212" s="20">
        <v>41817</v>
      </c>
      <c r="C212" s="19" t="s">
        <v>55</v>
      </c>
      <c r="D212" s="19" t="s">
        <v>67</v>
      </c>
      <c r="E212" s="19" t="s">
        <v>131</v>
      </c>
      <c r="F212" s="19" t="s">
        <v>118</v>
      </c>
      <c r="G212" s="19" t="s">
        <v>54</v>
      </c>
      <c r="H212" s="19">
        <v>1</v>
      </c>
      <c r="I212" s="21">
        <v>40.200000000000003</v>
      </c>
      <c r="J212" s="21">
        <v>12</v>
      </c>
      <c r="K212" s="21">
        <v>40.200000000000003</v>
      </c>
      <c r="L212" s="21">
        <v>28.2</v>
      </c>
    </row>
    <row r="213" spans="1:12" x14ac:dyDescent="0.35">
      <c r="A213" s="19" t="s">
        <v>343</v>
      </c>
      <c r="B213" s="20">
        <v>41818</v>
      </c>
      <c r="C213" s="19" t="s">
        <v>57</v>
      </c>
      <c r="D213" s="19" t="s">
        <v>561</v>
      </c>
      <c r="E213" s="19" t="s">
        <v>567</v>
      </c>
      <c r="F213" s="19" t="s">
        <v>132</v>
      </c>
      <c r="G213" s="19" t="s">
        <v>56</v>
      </c>
      <c r="H213" s="19">
        <v>2</v>
      </c>
      <c r="I213" s="21">
        <v>53.85</v>
      </c>
      <c r="J213" s="21">
        <v>15</v>
      </c>
      <c r="K213" s="21">
        <v>107.7</v>
      </c>
      <c r="L213" s="21">
        <v>77.7</v>
      </c>
    </row>
    <row r="214" spans="1:12" x14ac:dyDescent="0.35">
      <c r="A214" s="19" t="s">
        <v>344</v>
      </c>
      <c r="B214" s="20">
        <v>41819</v>
      </c>
      <c r="C214" s="19" t="s">
        <v>53</v>
      </c>
      <c r="D214" s="19" t="s">
        <v>64</v>
      </c>
      <c r="E214" s="19" t="s">
        <v>131</v>
      </c>
      <c r="F214" s="19" t="s">
        <v>156</v>
      </c>
      <c r="G214" s="19" t="s">
        <v>54</v>
      </c>
      <c r="H214" s="19">
        <v>1</v>
      </c>
      <c r="I214" s="21">
        <v>67.209999999999994</v>
      </c>
      <c r="J214" s="21">
        <v>18</v>
      </c>
      <c r="K214" s="21">
        <v>67.209999999999994</v>
      </c>
      <c r="L214" s="21">
        <v>49.21</v>
      </c>
    </row>
    <row r="215" spans="1:12" x14ac:dyDescent="0.35">
      <c r="A215" s="19" t="s">
        <v>345</v>
      </c>
      <c r="B215" s="20">
        <v>41819</v>
      </c>
      <c r="C215" s="19" t="s">
        <v>57</v>
      </c>
      <c r="D215" s="19" t="s">
        <v>63</v>
      </c>
      <c r="E215" s="19" t="s">
        <v>98</v>
      </c>
      <c r="F215" s="19" t="s">
        <v>132</v>
      </c>
      <c r="G215" s="19" t="s">
        <v>56</v>
      </c>
      <c r="H215" s="19">
        <v>1</v>
      </c>
      <c r="I215" s="21">
        <v>55.18</v>
      </c>
      <c r="J215" s="21">
        <v>15</v>
      </c>
      <c r="K215" s="21">
        <v>55.18</v>
      </c>
      <c r="L215" s="21">
        <v>40.18</v>
      </c>
    </row>
    <row r="216" spans="1:12" x14ac:dyDescent="0.35">
      <c r="A216" s="19" t="s">
        <v>346</v>
      </c>
      <c r="B216" s="20">
        <v>41820</v>
      </c>
      <c r="C216" s="19" t="s">
        <v>53</v>
      </c>
      <c r="D216" s="19" t="s">
        <v>64</v>
      </c>
      <c r="E216" s="19" t="s">
        <v>131</v>
      </c>
      <c r="F216" s="19" t="s">
        <v>132</v>
      </c>
      <c r="G216" s="19" t="s">
        <v>56</v>
      </c>
      <c r="H216" s="19">
        <v>2</v>
      </c>
      <c r="I216" s="21">
        <v>53.89</v>
      </c>
      <c r="J216" s="21">
        <v>15</v>
      </c>
      <c r="K216" s="21">
        <v>107.78</v>
      </c>
      <c r="L216" s="21">
        <v>77.78</v>
      </c>
    </row>
    <row r="217" spans="1:12" x14ac:dyDescent="0.35">
      <c r="A217" s="19" t="s">
        <v>347</v>
      </c>
      <c r="B217" s="20">
        <v>41820</v>
      </c>
      <c r="C217" s="19" t="s">
        <v>59</v>
      </c>
      <c r="D217" s="19" t="s">
        <v>67</v>
      </c>
      <c r="E217" s="19" t="s">
        <v>98</v>
      </c>
      <c r="F217" s="19" t="s">
        <v>128</v>
      </c>
      <c r="G217" s="19" t="s">
        <v>54</v>
      </c>
      <c r="H217" s="19">
        <v>1</v>
      </c>
      <c r="I217" s="21">
        <v>114.24</v>
      </c>
      <c r="J217" s="21">
        <v>40</v>
      </c>
      <c r="K217" s="21">
        <v>114.24</v>
      </c>
      <c r="L217" s="21">
        <v>74.239999999999995</v>
      </c>
    </row>
    <row r="218" spans="1:12" x14ac:dyDescent="0.35">
      <c r="A218" s="19" t="s">
        <v>348</v>
      </c>
      <c r="B218" s="20">
        <v>41820</v>
      </c>
      <c r="C218" s="19" t="s">
        <v>55</v>
      </c>
      <c r="D218" s="19" t="s">
        <v>63</v>
      </c>
      <c r="E218" s="19" t="s">
        <v>131</v>
      </c>
      <c r="F218" s="19" t="s">
        <v>142</v>
      </c>
      <c r="G218" s="19" t="s">
        <v>58</v>
      </c>
      <c r="H218" s="19">
        <v>4</v>
      </c>
      <c r="I218" s="21">
        <v>17.03</v>
      </c>
      <c r="J218" s="21">
        <v>4</v>
      </c>
      <c r="L218" s="21">
        <v>52.12</v>
      </c>
    </row>
    <row r="219" spans="1:12" x14ac:dyDescent="0.35">
      <c r="A219" s="19" t="s">
        <v>349</v>
      </c>
      <c r="B219" s="20">
        <v>41821</v>
      </c>
      <c r="C219" s="19" t="s">
        <v>53</v>
      </c>
      <c r="D219" s="19" t="s">
        <v>64</v>
      </c>
      <c r="E219" s="19" t="s">
        <v>164</v>
      </c>
      <c r="F219" s="19" t="s">
        <v>137</v>
      </c>
      <c r="G219" s="19" t="s">
        <v>54</v>
      </c>
      <c r="H219" s="19">
        <v>5</v>
      </c>
      <c r="I219" s="21">
        <v>278.5</v>
      </c>
      <c r="J219" s="21">
        <v>180</v>
      </c>
      <c r="K219" s="21">
        <v>1392.5</v>
      </c>
      <c r="L219" s="21">
        <v>492.5</v>
      </c>
    </row>
    <row r="220" spans="1:12" x14ac:dyDescent="0.35">
      <c r="A220" s="19" t="s">
        <v>350</v>
      </c>
      <c r="B220" s="20">
        <v>41823</v>
      </c>
      <c r="C220" s="19" t="s">
        <v>59</v>
      </c>
      <c r="D220" s="19" t="s">
        <v>68</v>
      </c>
      <c r="E220" s="19" t="s">
        <v>568</v>
      </c>
      <c r="F220" s="19" t="s">
        <v>125</v>
      </c>
      <c r="G220" s="19" t="s">
        <v>56</v>
      </c>
      <c r="H220" s="19">
        <v>2</v>
      </c>
      <c r="I220" s="21">
        <v>131.19999999999999</v>
      </c>
      <c r="J220" s="21">
        <v>70</v>
      </c>
      <c r="K220" s="21">
        <v>262.39999999999998</v>
      </c>
      <c r="L220" s="21">
        <v>122.4</v>
      </c>
    </row>
    <row r="221" spans="1:12" x14ac:dyDescent="0.35">
      <c r="A221" s="19" t="s">
        <v>351</v>
      </c>
      <c r="B221" s="20">
        <v>41824</v>
      </c>
      <c r="C221" s="19" t="s">
        <v>560</v>
      </c>
      <c r="D221" s="19" t="s">
        <v>66</v>
      </c>
      <c r="E221" s="19" t="s">
        <v>164</v>
      </c>
      <c r="F221" s="19" t="s">
        <v>118</v>
      </c>
      <c r="G221" s="19" t="s">
        <v>54</v>
      </c>
      <c r="H221" s="19">
        <v>4</v>
      </c>
      <c r="I221" s="21">
        <v>25.61</v>
      </c>
      <c r="J221" s="21">
        <v>12</v>
      </c>
      <c r="K221" s="21">
        <v>102.44</v>
      </c>
      <c r="L221" s="21">
        <v>54.44</v>
      </c>
    </row>
    <row r="222" spans="1:12" x14ac:dyDescent="0.35">
      <c r="A222" s="19" t="s">
        <v>352</v>
      </c>
      <c r="B222" s="20">
        <v>41825</v>
      </c>
      <c r="C222" s="19" t="s">
        <v>59</v>
      </c>
      <c r="D222" s="19" t="s">
        <v>68</v>
      </c>
      <c r="E222" s="19" t="s">
        <v>89</v>
      </c>
      <c r="F222" s="19" t="s">
        <v>123</v>
      </c>
      <c r="G222" s="19" t="s">
        <v>54</v>
      </c>
      <c r="H222" s="19">
        <v>1</v>
      </c>
      <c r="I222" s="21">
        <v>58.36</v>
      </c>
      <c r="J222" s="21">
        <v>28</v>
      </c>
      <c r="K222" s="21">
        <v>58.36</v>
      </c>
      <c r="L222" s="21">
        <v>30.36</v>
      </c>
    </row>
    <row r="223" spans="1:12" x14ac:dyDescent="0.35">
      <c r="A223" s="19" t="s">
        <v>353</v>
      </c>
      <c r="B223" s="20">
        <v>41826</v>
      </c>
      <c r="C223" s="19" t="s">
        <v>59</v>
      </c>
      <c r="D223" s="19" t="s">
        <v>61</v>
      </c>
      <c r="E223" s="19" t="s">
        <v>150</v>
      </c>
      <c r="F223" s="19" t="s">
        <v>123</v>
      </c>
      <c r="G223" s="19" t="s">
        <v>54</v>
      </c>
      <c r="H223" s="19">
        <v>3</v>
      </c>
      <c r="I223" s="21">
        <v>58.29</v>
      </c>
      <c r="J223" s="21">
        <v>28</v>
      </c>
      <c r="K223" s="21">
        <v>174.87</v>
      </c>
    </row>
    <row r="224" spans="1:12" x14ac:dyDescent="0.35">
      <c r="A224" s="19" t="s">
        <v>354</v>
      </c>
      <c r="B224" s="20">
        <v>41827</v>
      </c>
      <c r="C224" s="19" t="s">
        <v>59</v>
      </c>
      <c r="D224" s="19" t="s">
        <v>68</v>
      </c>
      <c r="E224" s="19" t="s">
        <v>87</v>
      </c>
      <c r="F224" s="19" t="s">
        <v>140</v>
      </c>
      <c r="G224" s="19" t="s">
        <v>56</v>
      </c>
      <c r="H224" s="19">
        <v>2</v>
      </c>
      <c r="I224" s="21">
        <v>155.74</v>
      </c>
      <c r="J224" s="21">
        <v>95</v>
      </c>
      <c r="K224" s="21">
        <v>311.48</v>
      </c>
      <c r="L224" s="21">
        <v>121.48</v>
      </c>
    </row>
    <row r="225" spans="1:12" x14ac:dyDescent="0.35">
      <c r="A225" s="19" t="s">
        <v>355</v>
      </c>
      <c r="B225" s="20">
        <v>41827</v>
      </c>
      <c r="C225" s="19" t="s">
        <v>59</v>
      </c>
      <c r="D225" s="19" t="s">
        <v>61</v>
      </c>
      <c r="E225" s="19" t="s">
        <v>100</v>
      </c>
      <c r="F225" s="19" t="s">
        <v>132</v>
      </c>
      <c r="G225" s="19" t="s">
        <v>56</v>
      </c>
      <c r="H225" s="19">
        <v>2</v>
      </c>
      <c r="I225" s="21">
        <v>31.64</v>
      </c>
      <c r="J225" s="21">
        <v>15</v>
      </c>
      <c r="K225" s="21">
        <v>63.28</v>
      </c>
      <c r="L225" s="21">
        <v>33.28</v>
      </c>
    </row>
    <row r="226" spans="1:12" x14ac:dyDescent="0.35">
      <c r="A226" s="19" t="s">
        <v>356</v>
      </c>
      <c r="B226" s="20">
        <v>41828</v>
      </c>
      <c r="C226" s="19" t="s">
        <v>59</v>
      </c>
      <c r="D226" s="19" t="s">
        <v>61</v>
      </c>
      <c r="E226" s="19" t="s">
        <v>139</v>
      </c>
      <c r="F226" s="19" t="s">
        <v>118</v>
      </c>
      <c r="G226" s="19" t="s">
        <v>54</v>
      </c>
      <c r="H226" s="19">
        <v>3</v>
      </c>
      <c r="I226" s="21">
        <v>23.82</v>
      </c>
      <c r="J226" s="21">
        <v>12</v>
      </c>
      <c r="K226" s="21">
        <v>71.459999999999994</v>
      </c>
      <c r="L226" s="21">
        <v>35.46</v>
      </c>
    </row>
    <row r="227" spans="1:12" x14ac:dyDescent="0.35">
      <c r="A227" s="19" t="s">
        <v>357</v>
      </c>
      <c r="B227" s="20">
        <v>41828</v>
      </c>
      <c r="C227" s="19" t="s">
        <v>57</v>
      </c>
      <c r="D227" s="19" t="s">
        <v>62</v>
      </c>
      <c r="E227" s="19" t="s">
        <v>98</v>
      </c>
      <c r="F227" s="19" t="s">
        <v>156</v>
      </c>
      <c r="G227" s="19" t="s">
        <v>54</v>
      </c>
      <c r="H227" s="19">
        <v>3</v>
      </c>
      <c r="I227" s="21">
        <v>43.09</v>
      </c>
      <c r="J227" s="21">
        <v>18</v>
      </c>
      <c r="K227" s="21">
        <v>129.27000000000001</v>
      </c>
      <c r="L227" s="21">
        <v>75.27</v>
      </c>
    </row>
    <row r="228" spans="1:12" x14ac:dyDescent="0.35">
      <c r="A228" s="19" t="s">
        <v>358</v>
      </c>
      <c r="B228" s="20">
        <v>41829</v>
      </c>
      <c r="C228" s="19" t="s">
        <v>57</v>
      </c>
      <c r="D228" s="19" t="s">
        <v>62</v>
      </c>
      <c r="E228" s="19" t="s">
        <v>131</v>
      </c>
      <c r="F228" s="19" t="s">
        <v>156</v>
      </c>
      <c r="G228" s="19" t="s">
        <v>54</v>
      </c>
      <c r="H228" s="19">
        <v>1</v>
      </c>
      <c r="I228" s="21">
        <v>41.14</v>
      </c>
      <c r="J228" s="21">
        <v>18</v>
      </c>
      <c r="K228" s="21">
        <v>41.14</v>
      </c>
      <c r="L228" s="21">
        <v>23.14</v>
      </c>
    </row>
    <row r="229" spans="1:12" x14ac:dyDescent="0.35">
      <c r="A229" s="19" t="s">
        <v>359</v>
      </c>
      <c r="B229" s="20">
        <v>41830</v>
      </c>
      <c r="C229" s="19" t="s">
        <v>57</v>
      </c>
      <c r="D229" s="19" t="s">
        <v>62</v>
      </c>
      <c r="E229" s="19" t="s">
        <v>100</v>
      </c>
      <c r="F229" s="19" t="s">
        <v>118</v>
      </c>
      <c r="G229" s="19" t="s">
        <v>54</v>
      </c>
      <c r="H229" s="19">
        <v>1</v>
      </c>
      <c r="I229" s="21">
        <v>25.3</v>
      </c>
      <c r="J229" s="21">
        <v>12</v>
      </c>
      <c r="K229" s="21">
        <v>25.3</v>
      </c>
      <c r="L229" s="21">
        <v>13.3</v>
      </c>
    </row>
    <row r="230" spans="1:12" x14ac:dyDescent="0.35">
      <c r="A230" s="19" t="s">
        <v>360</v>
      </c>
      <c r="B230" s="20">
        <v>41831</v>
      </c>
      <c r="C230" s="19" t="s">
        <v>53</v>
      </c>
      <c r="D230" s="19" t="s">
        <v>67</v>
      </c>
      <c r="E230" s="19" t="s">
        <v>114</v>
      </c>
      <c r="F230" s="19" t="s">
        <v>125</v>
      </c>
      <c r="G230" s="19" t="s">
        <v>56</v>
      </c>
      <c r="H230" s="19">
        <v>1</v>
      </c>
      <c r="I230" s="21">
        <v>137.54</v>
      </c>
      <c r="J230" s="21">
        <v>70</v>
      </c>
      <c r="K230" s="21">
        <v>137.54</v>
      </c>
      <c r="L230" s="21">
        <v>67.540000000000006</v>
      </c>
    </row>
    <row r="231" spans="1:12" x14ac:dyDescent="0.35">
      <c r="A231" s="19" t="s">
        <v>361</v>
      </c>
      <c r="B231" s="20">
        <v>41832</v>
      </c>
      <c r="C231" s="19" t="s">
        <v>59</v>
      </c>
      <c r="D231" s="19" t="s">
        <v>61</v>
      </c>
      <c r="E231" s="19" t="s">
        <v>100</v>
      </c>
      <c r="F231" s="19" t="s">
        <v>118</v>
      </c>
      <c r="G231" s="19" t="s">
        <v>54</v>
      </c>
      <c r="H231" s="19">
        <v>1</v>
      </c>
      <c r="I231" s="21">
        <v>25.85</v>
      </c>
      <c r="J231" s="21">
        <v>12</v>
      </c>
      <c r="K231" s="21">
        <v>25.85</v>
      </c>
      <c r="L231" s="21">
        <v>13.85</v>
      </c>
    </row>
    <row r="232" spans="1:12" x14ac:dyDescent="0.35">
      <c r="A232" s="19" t="s">
        <v>362</v>
      </c>
      <c r="B232" s="20">
        <v>41834</v>
      </c>
      <c r="C232" s="19" t="s">
        <v>57</v>
      </c>
      <c r="D232" s="19" t="s">
        <v>62</v>
      </c>
      <c r="E232" s="19" t="s">
        <v>144</v>
      </c>
      <c r="F232" s="19" t="s">
        <v>156</v>
      </c>
      <c r="G232" s="19" t="s">
        <v>54</v>
      </c>
      <c r="H232" s="19">
        <v>3</v>
      </c>
      <c r="I232" s="21">
        <v>39.909999999999997</v>
      </c>
      <c r="J232" s="21">
        <v>18</v>
      </c>
      <c r="K232" s="21">
        <v>119.73</v>
      </c>
      <c r="L232" s="21">
        <v>65.73</v>
      </c>
    </row>
    <row r="233" spans="1:12" x14ac:dyDescent="0.35">
      <c r="A233" s="19" t="s">
        <v>363</v>
      </c>
      <c r="B233" s="20">
        <v>41835</v>
      </c>
      <c r="C233" s="19" t="s">
        <v>55</v>
      </c>
      <c r="D233" s="19" t="s">
        <v>63</v>
      </c>
      <c r="E233" s="19" t="s">
        <v>153</v>
      </c>
      <c r="F233" s="19" t="s">
        <v>132</v>
      </c>
      <c r="G233" s="19" t="s">
        <v>56</v>
      </c>
      <c r="H233" s="19">
        <v>1</v>
      </c>
      <c r="I233" s="21">
        <v>33.76</v>
      </c>
      <c r="J233" s="21">
        <v>15</v>
      </c>
      <c r="K233" s="21">
        <v>33.76</v>
      </c>
      <c r="L233" s="21">
        <v>18.760000000000002</v>
      </c>
    </row>
    <row r="234" spans="1:12" x14ac:dyDescent="0.35">
      <c r="A234" s="19" t="s">
        <v>364</v>
      </c>
      <c r="B234" s="20">
        <v>41836</v>
      </c>
      <c r="C234" s="19" t="s">
        <v>59</v>
      </c>
      <c r="D234" s="19" t="s">
        <v>63</v>
      </c>
      <c r="E234" s="19" t="s">
        <v>98</v>
      </c>
      <c r="F234" s="19" t="s">
        <v>137</v>
      </c>
      <c r="G234" s="19" t="s">
        <v>54</v>
      </c>
      <c r="H234" s="19">
        <v>2</v>
      </c>
      <c r="I234" s="21">
        <v>293.43</v>
      </c>
      <c r="J234" s="21">
        <v>180</v>
      </c>
      <c r="K234" s="21">
        <v>586.86</v>
      </c>
      <c r="L234" s="21">
        <v>226.86</v>
      </c>
    </row>
    <row r="235" spans="1:12" x14ac:dyDescent="0.35">
      <c r="A235" s="19" t="s">
        <v>365</v>
      </c>
      <c r="B235" s="20">
        <v>41837</v>
      </c>
      <c r="C235" s="19" t="s">
        <v>57</v>
      </c>
      <c r="D235" s="19" t="s">
        <v>62</v>
      </c>
      <c r="E235" s="19" t="s">
        <v>89</v>
      </c>
      <c r="F235" s="19" t="s">
        <v>137</v>
      </c>
      <c r="G235" s="19" t="s">
        <v>54</v>
      </c>
      <c r="H235" s="19">
        <v>4</v>
      </c>
      <c r="I235" s="21">
        <v>289.14</v>
      </c>
      <c r="J235" s="21">
        <v>180</v>
      </c>
      <c r="K235" s="21">
        <v>1156.56</v>
      </c>
      <c r="L235" s="21">
        <v>436.56</v>
      </c>
    </row>
    <row r="236" spans="1:12" x14ac:dyDescent="0.35">
      <c r="A236" s="19" t="s">
        <v>366</v>
      </c>
      <c r="B236" s="20">
        <v>41837</v>
      </c>
      <c r="C236" s="19" t="s">
        <v>53</v>
      </c>
      <c r="D236" s="19" t="s">
        <v>67</v>
      </c>
      <c r="E236" s="19" t="s">
        <v>87</v>
      </c>
      <c r="F236" s="19" t="s">
        <v>118</v>
      </c>
      <c r="G236" s="19" t="s">
        <v>54</v>
      </c>
      <c r="H236" s="19">
        <v>3</v>
      </c>
      <c r="I236" s="21">
        <v>24.8</v>
      </c>
      <c r="J236" s="21">
        <v>12</v>
      </c>
      <c r="L236" s="21">
        <v>38.4</v>
      </c>
    </row>
    <row r="237" spans="1:12" x14ac:dyDescent="0.35">
      <c r="A237" s="19" t="s">
        <v>367</v>
      </c>
      <c r="B237" s="20">
        <v>41838</v>
      </c>
      <c r="C237" s="19" t="s">
        <v>554</v>
      </c>
      <c r="D237" s="19" t="s">
        <v>68</v>
      </c>
      <c r="E237" s="19" t="s">
        <v>131</v>
      </c>
      <c r="F237" s="19" t="s">
        <v>142</v>
      </c>
      <c r="G237" s="19" t="s">
        <v>58</v>
      </c>
      <c r="H237" s="19">
        <v>2</v>
      </c>
      <c r="I237" s="21">
        <v>11.07</v>
      </c>
      <c r="J237" s="21">
        <v>4</v>
      </c>
      <c r="K237" s="21">
        <v>22.14</v>
      </c>
      <c r="L237" s="21">
        <v>14.14</v>
      </c>
    </row>
    <row r="238" spans="1:12" x14ac:dyDescent="0.35">
      <c r="A238" s="19" t="s">
        <v>368</v>
      </c>
      <c r="B238" s="20">
        <v>41838</v>
      </c>
      <c r="C238" s="19" t="s">
        <v>53</v>
      </c>
      <c r="D238" s="19" t="s">
        <v>67</v>
      </c>
      <c r="E238" s="19" t="s">
        <v>98</v>
      </c>
      <c r="F238" s="19" t="s">
        <v>156</v>
      </c>
      <c r="G238" s="19" t="s">
        <v>54</v>
      </c>
      <c r="H238" s="19">
        <v>1</v>
      </c>
      <c r="I238" s="21">
        <v>42.54</v>
      </c>
      <c r="J238" s="21">
        <v>18</v>
      </c>
      <c r="K238" s="21">
        <v>42.54</v>
      </c>
      <c r="L238" s="21">
        <v>24.54</v>
      </c>
    </row>
    <row r="239" spans="1:12" x14ac:dyDescent="0.35">
      <c r="A239" s="19" t="s">
        <v>369</v>
      </c>
      <c r="B239" s="20">
        <v>41839</v>
      </c>
      <c r="C239" s="19" t="s">
        <v>57</v>
      </c>
      <c r="D239" s="19" t="s">
        <v>66</v>
      </c>
      <c r="E239" s="19" t="s">
        <v>164</v>
      </c>
      <c r="F239" s="19" t="s">
        <v>140</v>
      </c>
      <c r="G239" s="19" t="s">
        <v>56</v>
      </c>
      <c r="H239" s="19">
        <v>4</v>
      </c>
      <c r="I239" s="21">
        <v>159.76</v>
      </c>
      <c r="J239" s="21">
        <v>95</v>
      </c>
      <c r="K239" s="21">
        <v>639.04</v>
      </c>
      <c r="L239" s="21">
        <v>259.04000000000002</v>
      </c>
    </row>
    <row r="240" spans="1:12" x14ac:dyDescent="0.35">
      <c r="A240" s="19" t="s">
        <v>370</v>
      </c>
      <c r="B240" s="20">
        <v>41840</v>
      </c>
      <c r="C240" s="19" t="s">
        <v>55</v>
      </c>
      <c r="D240" s="19" t="s">
        <v>63</v>
      </c>
      <c r="E240" s="19" t="s">
        <v>98</v>
      </c>
      <c r="F240" s="19" t="s">
        <v>125</v>
      </c>
      <c r="G240" s="19" t="s">
        <v>56</v>
      </c>
      <c r="H240" s="19">
        <v>1</v>
      </c>
      <c r="I240" s="21">
        <v>141.88</v>
      </c>
      <c r="J240" s="21">
        <v>70</v>
      </c>
      <c r="K240" s="21">
        <v>141.88</v>
      </c>
      <c r="L240" s="21">
        <v>71.88</v>
      </c>
    </row>
    <row r="241" spans="1:12" x14ac:dyDescent="0.35">
      <c r="A241" s="19" t="s">
        <v>371</v>
      </c>
      <c r="B241" s="20">
        <v>41840</v>
      </c>
      <c r="C241" s="19" t="s">
        <v>53</v>
      </c>
      <c r="D241" s="19" t="s">
        <v>64</v>
      </c>
      <c r="E241" s="19" t="s">
        <v>150</v>
      </c>
      <c r="F241" s="19" t="s">
        <v>142</v>
      </c>
      <c r="G241" s="19" t="s">
        <v>58</v>
      </c>
      <c r="H241" s="19">
        <v>3</v>
      </c>
      <c r="I241" s="21">
        <v>11.07</v>
      </c>
      <c r="J241" s="21">
        <v>4</v>
      </c>
      <c r="K241" s="21">
        <v>33.21</v>
      </c>
      <c r="L241" s="21">
        <v>21.21</v>
      </c>
    </row>
    <row r="242" spans="1:12" x14ac:dyDescent="0.35">
      <c r="A242" s="19" t="s">
        <v>372</v>
      </c>
      <c r="B242" s="20">
        <v>41842</v>
      </c>
      <c r="C242" s="19" t="s">
        <v>53</v>
      </c>
      <c r="D242" s="19" t="s">
        <v>64</v>
      </c>
      <c r="E242" s="19" t="s">
        <v>139</v>
      </c>
      <c r="F242" s="19" t="s">
        <v>156</v>
      </c>
      <c r="G242" s="19" t="s">
        <v>54</v>
      </c>
      <c r="H242" s="19">
        <v>2</v>
      </c>
      <c r="I242" s="21">
        <v>39.76</v>
      </c>
      <c r="J242" s="21">
        <v>18</v>
      </c>
      <c r="K242" s="21">
        <v>79.52</v>
      </c>
      <c r="L242" s="21">
        <v>43.52</v>
      </c>
    </row>
    <row r="243" spans="1:12" x14ac:dyDescent="0.35">
      <c r="A243" s="19" t="s">
        <v>373</v>
      </c>
      <c r="B243" s="20">
        <v>41843</v>
      </c>
      <c r="C243" s="19" t="s">
        <v>55</v>
      </c>
      <c r="D243" s="19" t="s">
        <v>63</v>
      </c>
      <c r="E243" s="19" t="s">
        <v>139</v>
      </c>
      <c r="F243" s="19" t="s">
        <v>142</v>
      </c>
      <c r="G243" s="19" t="s">
        <v>58</v>
      </c>
      <c r="H243" s="19">
        <v>4</v>
      </c>
      <c r="I243" s="21">
        <v>10.1</v>
      </c>
      <c r="J243" s="21">
        <v>4</v>
      </c>
      <c r="K243" s="21">
        <v>40.4</v>
      </c>
    </row>
    <row r="244" spans="1:12" x14ac:dyDescent="0.35">
      <c r="A244" s="19" t="s">
        <v>374</v>
      </c>
      <c r="B244" s="20">
        <v>41846</v>
      </c>
      <c r="C244" s="19" t="s">
        <v>53</v>
      </c>
      <c r="D244" s="19" t="s">
        <v>67</v>
      </c>
      <c r="E244" s="19" t="s">
        <v>139</v>
      </c>
      <c r="F244" s="19" t="s">
        <v>115</v>
      </c>
      <c r="G244" s="19" t="s">
        <v>56</v>
      </c>
      <c r="H244" s="19">
        <v>1</v>
      </c>
      <c r="I244" s="21">
        <v>363.4</v>
      </c>
      <c r="J244" s="21">
        <v>220</v>
      </c>
      <c r="K244" s="21">
        <v>363.4</v>
      </c>
      <c r="L244" s="21">
        <v>143.4</v>
      </c>
    </row>
    <row r="245" spans="1:12" x14ac:dyDescent="0.35">
      <c r="A245" s="19" t="s">
        <v>375</v>
      </c>
      <c r="B245" s="20">
        <v>41847</v>
      </c>
      <c r="C245" s="19" t="s">
        <v>59</v>
      </c>
      <c r="D245" s="19" t="s">
        <v>61</v>
      </c>
      <c r="E245" s="19" t="s">
        <v>91</v>
      </c>
      <c r="F245" s="19" t="s">
        <v>132</v>
      </c>
      <c r="G245" s="19" t="s">
        <v>56</v>
      </c>
      <c r="H245" s="19">
        <v>1</v>
      </c>
      <c r="I245" s="21">
        <v>33.94</v>
      </c>
      <c r="J245" s="21">
        <v>15</v>
      </c>
      <c r="K245" s="21">
        <v>33.94</v>
      </c>
      <c r="L245" s="21">
        <v>18.940000000000001</v>
      </c>
    </row>
    <row r="246" spans="1:12" x14ac:dyDescent="0.35">
      <c r="A246" s="19" t="s">
        <v>376</v>
      </c>
      <c r="B246" s="20">
        <v>41847</v>
      </c>
      <c r="C246" s="19" t="s">
        <v>55</v>
      </c>
      <c r="D246" s="19" t="s">
        <v>63</v>
      </c>
      <c r="E246" s="19" t="s">
        <v>100</v>
      </c>
      <c r="F246" s="19" t="s">
        <v>156</v>
      </c>
      <c r="G246" s="19" t="s">
        <v>54</v>
      </c>
      <c r="H246" s="19">
        <v>1</v>
      </c>
      <c r="I246" s="21">
        <v>39.99</v>
      </c>
      <c r="J246" s="21">
        <v>18</v>
      </c>
      <c r="K246" s="21">
        <v>39.99</v>
      </c>
      <c r="L246" s="21">
        <v>21.99</v>
      </c>
    </row>
    <row r="247" spans="1:12" x14ac:dyDescent="0.35">
      <c r="A247" s="19" t="s">
        <v>377</v>
      </c>
      <c r="B247" s="20">
        <v>41849</v>
      </c>
      <c r="C247" s="19" t="s">
        <v>55</v>
      </c>
      <c r="D247" s="19" t="s">
        <v>63</v>
      </c>
      <c r="E247" s="19" t="s">
        <v>134</v>
      </c>
      <c r="F247" s="19" t="s">
        <v>142</v>
      </c>
      <c r="G247" s="19" t="s">
        <v>58</v>
      </c>
      <c r="H247" s="19">
        <v>1</v>
      </c>
      <c r="I247" s="21">
        <v>10.4</v>
      </c>
      <c r="J247" s="21">
        <v>4</v>
      </c>
      <c r="K247" s="21">
        <v>10.4</v>
      </c>
      <c r="L247" s="21">
        <v>6.4</v>
      </c>
    </row>
    <row r="248" spans="1:12" x14ac:dyDescent="0.35">
      <c r="A248" s="19" t="s">
        <v>378</v>
      </c>
      <c r="B248" s="20">
        <v>41849</v>
      </c>
      <c r="C248" s="19" t="s">
        <v>57</v>
      </c>
      <c r="D248" s="19" t="s">
        <v>63</v>
      </c>
      <c r="E248" s="19" t="s">
        <v>117</v>
      </c>
      <c r="F248" s="19" t="s">
        <v>142</v>
      </c>
      <c r="G248" s="19" t="s">
        <v>58</v>
      </c>
      <c r="H248" s="19">
        <v>3</v>
      </c>
      <c r="I248" s="21">
        <v>10.85</v>
      </c>
      <c r="J248" s="21">
        <v>4</v>
      </c>
      <c r="K248" s="21">
        <v>32.549999999999997</v>
      </c>
      <c r="L248" s="21">
        <v>20.55</v>
      </c>
    </row>
    <row r="249" spans="1:12" x14ac:dyDescent="0.35">
      <c r="A249" s="19" t="s">
        <v>379</v>
      </c>
      <c r="B249" s="20">
        <v>41849</v>
      </c>
      <c r="C249" s="19" t="s">
        <v>57</v>
      </c>
      <c r="D249" s="19" t="s">
        <v>62</v>
      </c>
      <c r="E249" s="19" t="s">
        <v>117</v>
      </c>
      <c r="F249" s="19" t="s">
        <v>156</v>
      </c>
      <c r="G249" s="19" t="s">
        <v>54</v>
      </c>
      <c r="H249" s="19">
        <v>1</v>
      </c>
      <c r="I249" s="21">
        <v>43.12</v>
      </c>
      <c r="J249" s="21">
        <v>18</v>
      </c>
      <c r="K249" s="21">
        <v>43.12</v>
      </c>
      <c r="L249" s="21">
        <v>25.12</v>
      </c>
    </row>
    <row r="250" spans="1:12" x14ac:dyDescent="0.35">
      <c r="A250" s="19" t="s">
        <v>380</v>
      </c>
      <c r="B250" s="20">
        <v>41852</v>
      </c>
      <c r="C250" s="19" t="s">
        <v>57</v>
      </c>
      <c r="D250" s="19" t="s">
        <v>66</v>
      </c>
      <c r="E250" s="19" t="s">
        <v>100</v>
      </c>
      <c r="F250" s="19" t="s">
        <v>142</v>
      </c>
      <c r="G250" s="19" t="s">
        <v>58</v>
      </c>
      <c r="H250" s="19">
        <v>3</v>
      </c>
      <c r="I250" s="21">
        <v>12.23</v>
      </c>
      <c r="J250" s="21">
        <v>4</v>
      </c>
      <c r="K250" s="21">
        <v>36.69</v>
      </c>
      <c r="L250" s="21">
        <v>24.69</v>
      </c>
    </row>
    <row r="251" spans="1:12" x14ac:dyDescent="0.35">
      <c r="A251" s="19" t="s">
        <v>381</v>
      </c>
      <c r="B251" s="20">
        <v>41853</v>
      </c>
      <c r="C251" s="19" t="s">
        <v>57</v>
      </c>
      <c r="D251" s="19" t="s">
        <v>66</v>
      </c>
      <c r="E251" s="19" t="s">
        <v>164</v>
      </c>
      <c r="F251" s="19" t="s">
        <v>123</v>
      </c>
      <c r="G251" s="19" t="s">
        <v>54</v>
      </c>
      <c r="H251" s="19">
        <v>1</v>
      </c>
      <c r="I251" s="21">
        <v>69.010000000000005</v>
      </c>
      <c r="J251" s="21">
        <v>28</v>
      </c>
      <c r="K251" s="21">
        <v>69.010000000000005</v>
      </c>
      <c r="L251" s="21">
        <v>41.01</v>
      </c>
    </row>
    <row r="252" spans="1:12" x14ac:dyDescent="0.35">
      <c r="A252" s="19" t="s">
        <v>382</v>
      </c>
      <c r="B252" s="20">
        <v>41854</v>
      </c>
      <c r="C252" s="19" t="s">
        <v>55</v>
      </c>
      <c r="D252" s="19" t="s">
        <v>63</v>
      </c>
      <c r="E252" s="19" t="s">
        <v>146</v>
      </c>
      <c r="F252" s="19" t="s">
        <v>142</v>
      </c>
      <c r="G252" s="19" t="s">
        <v>58</v>
      </c>
      <c r="H252" s="19">
        <v>3</v>
      </c>
      <c r="I252" s="21">
        <v>12.85</v>
      </c>
      <c r="J252" s="21">
        <v>4</v>
      </c>
      <c r="K252" s="21">
        <v>38.549999999999997</v>
      </c>
      <c r="L252" s="21">
        <v>26.55</v>
      </c>
    </row>
    <row r="253" spans="1:12" x14ac:dyDescent="0.35">
      <c r="A253" s="19" t="s">
        <v>383</v>
      </c>
      <c r="B253" s="20">
        <v>41854</v>
      </c>
      <c r="C253" s="19" t="s">
        <v>57</v>
      </c>
      <c r="D253" s="19" t="s">
        <v>62</v>
      </c>
      <c r="E253" s="19" t="s">
        <v>150</v>
      </c>
      <c r="F253" s="19" t="s">
        <v>123</v>
      </c>
      <c r="G253" s="19" t="s">
        <v>54</v>
      </c>
      <c r="H253" s="19">
        <v>2</v>
      </c>
      <c r="I253" s="21">
        <v>70.78</v>
      </c>
      <c r="J253" s="21">
        <v>28</v>
      </c>
      <c r="K253" s="21">
        <v>141.56</v>
      </c>
      <c r="L253" s="21">
        <v>85.56</v>
      </c>
    </row>
    <row r="254" spans="1:12" x14ac:dyDescent="0.35">
      <c r="A254" s="19" t="s">
        <v>384</v>
      </c>
      <c r="B254" s="20">
        <v>41855</v>
      </c>
      <c r="C254" s="19" t="s">
        <v>57</v>
      </c>
      <c r="D254" s="19" t="s">
        <v>63</v>
      </c>
      <c r="E254" s="19" t="s">
        <v>91</v>
      </c>
      <c r="F254" s="19" t="s">
        <v>128</v>
      </c>
      <c r="G254" s="19" t="s">
        <v>54</v>
      </c>
      <c r="H254" s="19">
        <v>3</v>
      </c>
      <c r="I254" s="21">
        <v>88.43</v>
      </c>
      <c r="J254" s="21">
        <v>40</v>
      </c>
      <c r="K254" s="21">
        <v>265.29000000000002</v>
      </c>
      <c r="L254" s="21">
        <v>145.29</v>
      </c>
    </row>
    <row r="255" spans="1:12" x14ac:dyDescent="0.35">
      <c r="A255" s="19" t="s">
        <v>385</v>
      </c>
      <c r="B255" s="20">
        <v>41856</v>
      </c>
      <c r="C255" s="19" t="s">
        <v>59</v>
      </c>
      <c r="D255" s="19" t="s">
        <v>68</v>
      </c>
      <c r="E255" s="19" t="s">
        <v>134</v>
      </c>
      <c r="F255" s="19" t="s">
        <v>142</v>
      </c>
      <c r="G255" s="19" t="s">
        <v>58</v>
      </c>
      <c r="H255" s="19">
        <v>1</v>
      </c>
      <c r="I255" s="21">
        <v>12.25</v>
      </c>
      <c r="J255" s="21">
        <v>4</v>
      </c>
      <c r="K255" s="21">
        <v>12.25</v>
      </c>
      <c r="L255" s="21">
        <v>8.25</v>
      </c>
    </row>
    <row r="256" spans="1:12" x14ac:dyDescent="0.35">
      <c r="A256" s="19" t="s">
        <v>386</v>
      </c>
      <c r="B256" s="20">
        <v>41860</v>
      </c>
      <c r="C256" s="19" t="s">
        <v>55</v>
      </c>
      <c r="D256" s="19" t="s">
        <v>63</v>
      </c>
      <c r="E256" s="19" t="s">
        <v>100</v>
      </c>
      <c r="F256" s="19" t="s">
        <v>132</v>
      </c>
      <c r="G256" s="19" t="s">
        <v>56</v>
      </c>
      <c r="H256" s="19">
        <v>1</v>
      </c>
      <c r="I256" s="21">
        <v>37.4</v>
      </c>
      <c r="J256" s="21">
        <v>15</v>
      </c>
      <c r="L256" s="21">
        <v>22.4</v>
      </c>
    </row>
    <row r="257" spans="1:12" x14ac:dyDescent="0.35">
      <c r="A257" s="19" t="s">
        <v>387</v>
      </c>
      <c r="B257" s="20">
        <v>41862</v>
      </c>
      <c r="C257" s="19" t="s">
        <v>55</v>
      </c>
      <c r="D257" s="19" t="s">
        <v>65</v>
      </c>
      <c r="E257" s="19" t="s">
        <v>91</v>
      </c>
      <c r="F257" s="19" t="s">
        <v>115</v>
      </c>
      <c r="G257" s="19" t="s">
        <v>56</v>
      </c>
      <c r="H257" s="19">
        <v>3</v>
      </c>
      <c r="I257" s="21">
        <v>438.13</v>
      </c>
      <c r="J257" s="21">
        <v>220</v>
      </c>
      <c r="K257" s="21">
        <v>1314.39</v>
      </c>
      <c r="L257" s="21">
        <v>654.39</v>
      </c>
    </row>
    <row r="258" spans="1:12" x14ac:dyDescent="0.35">
      <c r="A258" s="19" t="s">
        <v>388</v>
      </c>
      <c r="B258" s="20">
        <v>41863</v>
      </c>
      <c r="C258" s="19" t="s">
        <v>53</v>
      </c>
      <c r="D258" s="19" t="s">
        <v>67</v>
      </c>
      <c r="E258" s="19" t="s">
        <v>164</v>
      </c>
      <c r="F258" s="19" t="s">
        <v>137</v>
      </c>
      <c r="G258" s="19" t="s">
        <v>54</v>
      </c>
      <c r="H258" s="19">
        <v>2</v>
      </c>
      <c r="I258" s="21">
        <v>331.41</v>
      </c>
      <c r="J258" s="21">
        <v>180</v>
      </c>
      <c r="K258" s="21">
        <v>662.82</v>
      </c>
      <c r="L258" s="21">
        <v>302.82</v>
      </c>
    </row>
    <row r="259" spans="1:12" x14ac:dyDescent="0.35">
      <c r="A259" s="19" t="s">
        <v>389</v>
      </c>
      <c r="B259" s="20">
        <v>41863</v>
      </c>
      <c r="C259" s="19" t="s">
        <v>57</v>
      </c>
      <c r="D259" s="19" t="s">
        <v>62</v>
      </c>
      <c r="E259" s="19" t="s">
        <v>117</v>
      </c>
      <c r="F259" s="19" t="s">
        <v>128</v>
      </c>
      <c r="G259" s="19" t="s">
        <v>54</v>
      </c>
      <c r="H259" s="19">
        <v>4</v>
      </c>
      <c r="I259" s="21">
        <v>92.83</v>
      </c>
      <c r="J259" s="21">
        <v>40</v>
      </c>
      <c r="K259" s="21">
        <v>371.32</v>
      </c>
      <c r="L259" s="21">
        <v>211.32</v>
      </c>
    </row>
    <row r="260" spans="1:12" x14ac:dyDescent="0.35">
      <c r="A260" s="19" t="s">
        <v>390</v>
      </c>
      <c r="B260" s="20">
        <v>41863</v>
      </c>
      <c r="C260" s="19" t="s">
        <v>55</v>
      </c>
      <c r="D260" s="19" t="s">
        <v>63</v>
      </c>
      <c r="E260" s="19" t="s">
        <v>150</v>
      </c>
      <c r="F260" s="19" t="s">
        <v>125</v>
      </c>
      <c r="G260" s="19" t="s">
        <v>56</v>
      </c>
      <c r="H260" s="19">
        <v>3</v>
      </c>
      <c r="I260" s="21">
        <v>165.82</v>
      </c>
      <c r="J260" s="21">
        <v>70</v>
      </c>
      <c r="K260" s="21">
        <v>497.46</v>
      </c>
      <c r="L260" s="21">
        <v>287.45999999999998</v>
      </c>
    </row>
    <row r="261" spans="1:12" x14ac:dyDescent="0.35">
      <c r="A261" s="19" t="s">
        <v>391</v>
      </c>
      <c r="B261" s="20">
        <v>41864</v>
      </c>
      <c r="C261" s="19" t="s">
        <v>59</v>
      </c>
      <c r="D261" s="19" t="s">
        <v>61</v>
      </c>
      <c r="E261" s="19" t="s">
        <v>153</v>
      </c>
      <c r="F261" s="19" t="s">
        <v>142</v>
      </c>
      <c r="G261" s="19" t="s">
        <v>58</v>
      </c>
      <c r="H261" s="19">
        <v>1</v>
      </c>
      <c r="I261" s="21">
        <v>12.84</v>
      </c>
      <c r="J261" s="21">
        <v>4</v>
      </c>
      <c r="K261" s="21">
        <v>12.84</v>
      </c>
      <c r="L261" s="21">
        <v>8.84</v>
      </c>
    </row>
    <row r="262" spans="1:12" x14ac:dyDescent="0.35">
      <c r="A262" s="19" t="s">
        <v>392</v>
      </c>
      <c r="B262" s="20">
        <v>41864</v>
      </c>
      <c r="C262" s="19" t="s">
        <v>57</v>
      </c>
      <c r="D262" s="19" t="s">
        <v>62</v>
      </c>
      <c r="E262" s="19" t="s">
        <v>117</v>
      </c>
      <c r="F262" s="19" t="s">
        <v>156</v>
      </c>
      <c r="G262" s="19" t="s">
        <v>54</v>
      </c>
      <c r="H262" s="19">
        <v>3</v>
      </c>
      <c r="I262" s="21">
        <v>49.43</v>
      </c>
      <c r="J262" s="21">
        <v>18</v>
      </c>
      <c r="K262" s="21">
        <v>148.29</v>
      </c>
      <c r="L262" s="21">
        <v>94.29</v>
      </c>
    </row>
    <row r="263" spans="1:12" x14ac:dyDescent="0.35">
      <c r="A263" s="19" t="s">
        <v>393</v>
      </c>
      <c r="B263" s="20">
        <v>41866</v>
      </c>
      <c r="C263" s="19" t="s">
        <v>59</v>
      </c>
      <c r="D263" s="19" t="s">
        <v>68</v>
      </c>
      <c r="E263" s="19" t="s">
        <v>164</v>
      </c>
      <c r="F263" s="19" t="s">
        <v>118</v>
      </c>
      <c r="G263" s="19" t="s">
        <v>54</v>
      </c>
      <c r="H263" s="19">
        <v>4</v>
      </c>
      <c r="I263" s="21">
        <v>29.55</v>
      </c>
      <c r="J263" s="21">
        <v>12</v>
      </c>
      <c r="K263" s="21">
        <v>118.2</v>
      </c>
      <c r="L263" s="21">
        <v>70.2</v>
      </c>
    </row>
    <row r="264" spans="1:12" x14ac:dyDescent="0.35">
      <c r="A264" s="19" t="s">
        <v>394</v>
      </c>
      <c r="B264" s="20">
        <v>41866</v>
      </c>
      <c r="C264" s="19" t="s">
        <v>55</v>
      </c>
      <c r="D264" s="19" t="s">
        <v>63</v>
      </c>
      <c r="E264" s="19" t="s">
        <v>100</v>
      </c>
      <c r="F264" s="19" t="s">
        <v>128</v>
      </c>
      <c r="G264" s="19" t="s">
        <v>54</v>
      </c>
      <c r="H264" s="19">
        <v>3</v>
      </c>
      <c r="I264" s="21">
        <v>93.09</v>
      </c>
      <c r="J264" s="21">
        <v>40</v>
      </c>
      <c r="K264" s="21">
        <v>279.27</v>
      </c>
      <c r="L264" s="21">
        <v>159.27000000000001</v>
      </c>
    </row>
    <row r="265" spans="1:12" x14ac:dyDescent="0.35">
      <c r="A265" s="19" t="s">
        <v>395</v>
      </c>
      <c r="B265" s="20">
        <v>41868</v>
      </c>
      <c r="C265" s="19" t="s">
        <v>53</v>
      </c>
      <c r="D265" s="19" t="s">
        <v>67</v>
      </c>
      <c r="E265" s="19" t="s">
        <v>100</v>
      </c>
      <c r="F265" s="19" t="s">
        <v>132</v>
      </c>
      <c r="G265" s="19" t="s">
        <v>56</v>
      </c>
      <c r="H265" s="19">
        <v>2</v>
      </c>
      <c r="I265" s="21">
        <v>37.28</v>
      </c>
      <c r="J265" s="21">
        <v>15</v>
      </c>
      <c r="K265" s="21">
        <v>74.56</v>
      </c>
      <c r="L265" s="21">
        <v>44.56</v>
      </c>
    </row>
    <row r="266" spans="1:12" x14ac:dyDescent="0.35">
      <c r="A266" s="19" t="s">
        <v>396</v>
      </c>
      <c r="B266" s="20">
        <v>41868</v>
      </c>
      <c r="C266" s="19" t="s">
        <v>53</v>
      </c>
      <c r="D266" s="19" t="s">
        <v>67</v>
      </c>
      <c r="E266" s="19" t="s">
        <v>134</v>
      </c>
      <c r="F266" s="19" t="s">
        <v>142</v>
      </c>
      <c r="G266" s="19" t="s">
        <v>58</v>
      </c>
      <c r="H266" s="19">
        <v>1</v>
      </c>
      <c r="I266" s="21">
        <v>12.21</v>
      </c>
      <c r="J266" s="21">
        <v>4</v>
      </c>
      <c r="K266" s="21">
        <v>12.21</v>
      </c>
      <c r="L266" s="21">
        <v>8.2100000000000009</v>
      </c>
    </row>
    <row r="267" spans="1:12" x14ac:dyDescent="0.35">
      <c r="A267" s="19" t="s">
        <v>397</v>
      </c>
      <c r="B267" s="20">
        <v>41869</v>
      </c>
      <c r="C267" s="19" t="s">
        <v>57</v>
      </c>
      <c r="D267" s="19" t="s">
        <v>66</v>
      </c>
      <c r="E267" s="19" t="s">
        <v>91</v>
      </c>
      <c r="F267" s="19" t="s">
        <v>137</v>
      </c>
      <c r="G267" s="19" t="s">
        <v>54</v>
      </c>
      <c r="H267" s="19">
        <v>1</v>
      </c>
      <c r="I267" s="21">
        <v>314.8</v>
      </c>
      <c r="J267" s="21">
        <v>180</v>
      </c>
      <c r="K267" s="21">
        <v>314.8</v>
      </c>
    </row>
    <row r="268" spans="1:12" x14ac:dyDescent="0.35">
      <c r="A268" s="19" t="s">
        <v>398</v>
      </c>
      <c r="B268" s="20">
        <v>41872</v>
      </c>
      <c r="C268" s="19" t="s">
        <v>53</v>
      </c>
      <c r="D268" s="19" t="s">
        <v>64</v>
      </c>
      <c r="E268" s="19" t="s">
        <v>139</v>
      </c>
      <c r="F268" s="19" t="s">
        <v>125</v>
      </c>
      <c r="G268" s="19" t="s">
        <v>56</v>
      </c>
      <c r="H268" s="19">
        <v>3</v>
      </c>
      <c r="I268" s="21">
        <v>158.79</v>
      </c>
      <c r="J268" s="21">
        <v>70</v>
      </c>
      <c r="K268" s="21">
        <v>476.37</v>
      </c>
      <c r="L268" s="21">
        <v>266.37</v>
      </c>
    </row>
    <row r="269" spans="1:12" x14ac:dyDescent="0.35">
      <c r="A269" s="19" t="s">
        <v>399</v>
      </c>
      <c r="B269" s="20">
        <v>41872</v>
      </c>
      <c r="C269" s="19" t="s">
        <v>59</v>
      </c>
      <c r="D269" s="19" t="s">
        <v>68</v>
      </c>
      <c r="E269" s="19" t="s">
        <v>164</v>
      </c>
      <c r="F269" s="19" t="s">
        <v>137</v>
      </c>
      <c r="G269" s="19" t="s">
        <v>54</v>
      </c>
      <c r="H269" s="19">
        <v>2</v>
      </c>
      <c r="I269" s="21">
        <v>334.43</v>
      </c>
      <c r="J269" s="21">
        <v>180</v>
      </c>
      <c r="K269" s="21">
        <v>668.86</v>
      </c>
      <c r="L269" s="21">
        <v>308.86</v>
      </c>
    </row>
    <row r="270" spans="1:12" x14ac:dyDescent="0.35">
      <c r="A270" s="19" t="s">
        <v>400</v>
      </c>
      <c r="B270" s="20">
        <v>41872</v>
      </c>
      <c r="C270" s="19" t="s">
        <v>57</v>
      </c>
      <c r="D270" s="19" t="s">
        <v>66</v>
      </c>
      <c r="E270" s="19" t="s">
        <v>98</v>
      </c>
      <c r="F270" s="19" t="s">
        <v>123</v>
      </c>
      <c r="G270" s="19" t="s">
        <v>54</v>
      </c>
      <c r="H270" s="19">
        <v>2</v>
      </c>
      <c r="I270" s="21">
        <v>70.08</v>
      </c>
      <c r="J270" s="21">
        <v>28</v>
      </c>
      <c r="K270" s="21">
        <v>140.16</v>
      </c>
      <c r="L270" s="21">
        <v>84.16</v>
      </c>
    </row>
    <row r="271" spans="1:12" x14ac:dyDescent="0.35">
      <c r="A271" s="19" t="s">
        <v>401</v>
      </c>
      <c r="B271" s="20">
        <v>41873</v>
      </c>
      <c r="C271" s="19" t="s">
        <v>59</v>
      </c>
      <c r="D271" s="19" t="s">
        <v>61</v>
      </c>
      <c r="E271" s="19" t="s">
        <v>100</v>
      </c>
      <c r="F271" s="19" t="s">
        <v>115</v>
      </c>
      <c r="G271" s="19" t="s">
        <v>56</v>
      </c>
      <c r="H271" s="19">
        <v>1</v>
      </c>
      <c r="I271" s="21">
        <v>454.08</v>
      </c>
      <c r="J271" s="21">
        <v>220</v>
      </c>
      <c r="K271" s="21">
        <v>454.08</v>
      </c>
      <c r="L271" s="21">
        <v>234.08</v>
      </c>
    </row>
    <row r="272" spans="1:12" x14ac:dyDescent="0.35">
      <c r="A272" s="19" t="s">
        <v>402</v>
      </c>
      <c r="B272" s="20">
        <v>41873</v>
      </c>
      <c r="C272" s="19" t="s">
        <v>53</v>
      </c>
      <c r="D272" s="19" t="s">
        <v>64</v>
      </c>
      <c r="E272" s="19" t="s">
        <v>139</v>
      </c>
      <c r="F272" s="19" t="s">
        <v>128</v>
      </c>
      <c r="G272" s="19" t="s">
        <v>54</v>
      </c>
      <c r="H272" s="19">
        <v>3</v>
      </c>
      <c r="I272" s="21">
        <v>90.32</v>
      </c>
      <c r="J272" s="21">
        <v>40</v>
      </c>
      <c r="K272" s="21">
        <v>270.95999999999998</v>
      </c>
      <c r="L272" s="21">
        <v>150.96</v>
      </c>
    </row>
    <row r="273" spans="1:12" x14ac:dyDescent="0.35">
      <c r="A273" s="19" t="s">
        <v>403</v>
      </c>
      <c r="B273" s="20">
        <v>41875</v>
      </c>
      <c r="C273" s="19" t="s">
        <v>57</v>
      </c>
      <c r="D273" s="19" t="s">
        <v>66</v>
      </c>
      <c r="E273" s="19" t="s">
        <v>91</v>
      </c>
      <c r="F273" s="19" t="s">
        <v>142</v>
      </c>
      <c r="G273" s="19" t="s">
        <v>58</v>
      </c>
      <c r="H273" s="19">
        <v>2</v>
      </c>
      <c r="I273" s="21">
        <v>12.12</v>
      </c>
      <c r="J273" s="21">
        <v>4</v>
      </c>
      <c r="L273" s="21">
        <v>16.239999999999998</v>
      </c>
    </row>
    <row r="274" spans="1:12" x14ac:dyDescent="0.35">
      <c r="A274" s="19" t="s">
        <v>404</v>
      </c>
      <c r="B274" s="20">
        <v>41876</v>
      </c>
      <c r="C274" s="19" t="s">
        <v>559</v>
      </c>
      <c r="D274" s="19" t="s">
        <v>67</v>
      </c>
      <c r="E274" s="19" t="s">
        <v>98</v>
      </c>
      <c r="F274" s="19" t="s">
        <v>132</v>
      </c>
      <c r="G274" s="19" t="s">
        <v>56</v>
      </c>
      <c r="H274" s="19">
        <v>3</v>
      </c>
      <c r="I274" s="21">
        <v>38.590000000000003</v>
      </c>
      <c r="J274" s="21">
        <v>15</v>
      </c>
      <c r="K274" s="21">
        <v>115.77</v>
      </c>
      <c r="L274" s="21">
        <v>70.77</v>
      </c>
    </row>
    <row r="275" spans="1:12" x14ac:dyDescent="0.35">
      <c r="A275" s="19" t="s">
        <v>405</v>
      </c>
      <c r="B275" s="20">
        <v>41880</v>
      </c>
      <c r="C275" s="19" t="s">
        <v>53</v>
      </c>
      <c r="D275" s="19" t="s">
        <v>67</v>
      </c>
      <c r="E275" s="19" t="s">
        <v>146</v>
      </c>
      <c r="F275" s="19" t="s">
        <v>142</v>
      </c>
      <c r="G275" s="19" t="s">
        <v>58</v>
      </c>
      <c r="H275" s="19">
        <v>3</v>
      </c>
      <c r="I275" s="21">
        <v>12.32</v>
      </c>
      <c r="J275" s="21">
        <v>4</v>
      </c>
      <c r="K275" s="21">
        <v>36.96</v>
      </c>
      <c r="L275" s="21">
        <v>24.96</v>
      </c>
    </row>
    <row r="276" spans="1:12" x14ac:dyDescent="0.35">
      <c r="A276" s="19" t="s">
        <v>406</v>
      </c>
      <c r="B276" s="20">
        <v>41881</v>
      </c>
      <c r="C276" s="19" t="s">
        <v>55</v>
      </c>
      <c r="D276" s="19" t="s">
        <v>65</v>
      </c>
      <c r="E276" s="19" t="s">
        <v>150</v>
      </c>
      <c r="F276" s="19" t="s">
        <v>132</v>
      </c>
      <c r="G276" s="19" t="s">
        <v>56</v>
      </c>
      <c r="H276" s="19">
        <v>1</v>
      </c>
      <c r="I276" s="21">
        <v>39.39</v>
      </c>
      <c r="J276" s="21">
        <v>15</v>
      </c>
      <c r="K276" s="21">
        <v>39.39</v>
      </c>
      <c r="L276" s="21">
        <v>24.39</v>
      </c>
    </row>
    <row r="277" spans="1:12" x14ac:dyDescent="0.35">
      <c r="A277" s="19" t="s">
        <v>407</v>
      </c>
      <c r="B277" s="20">
        <v>41881</v>
      </c>
      <c r="C277" s="19" t="s">
        <v>53</v>
      </c>
      <c r="D277" s="19" t="s">
        <v>67</v>
      </c>
      <c r="E277" s="19" t="s">
        <v>100</v>
      </c>
      <c r="F277" s="19" t="s">
        <v>156</v>
      </c>
      <c r="G277" s="19" t="s">
        <v>54</v>
      </c>
      <c r="H277" s="19">
        <v>2</v>
      </c>
      <c r="I277" s="21">
        <v>51.44</v>
      </c>
      <c r="J277" s="21">
        <v>18</v>
      </c>
      <c r="K277" s="21">
        <v>102.88</v>
      </c>
      <c r="L277" s="21">
        <v>66.88</v>
      </c>
    </row>
    <row r="278" spans="1:12" x14ac:dyDescent="0.35">
      <c r="A278" s="19" t="s">
        <v>408</v>
      </c>
      <c r="B278" s="20">
        <v>41882</v>
      </c>
      <c r="C278" s="19" t="s">
        <v>59</v>
      </c>
      <c r="D278" s="19" t="s">
        <v>68</v>
      </c>
      <c r="E278" s="19" t="s">
        <v>164</v>
      </c>
      <c r="F278" s="19" t="s">
        <v>132</v>
      </c>
      <c r="G278" s="19" t="s">
        <v>56</v>
      </c>
      <c r="H278" s="19">
        <v>1</v>
      </c>
      <c r="I278" s="21">
        <v>38.65</v>
      </c>
      <c r="J278" s="21">
        <v>15</v>
      </c>
      <c r="L278" s="21">
        <v>23.65</v>
      </c>
    </row>
    <row r="279" spans="1:12" x14ac:dyDescent="0.35">
      <c r="A279" s="19" t="s">
        <v>409</v>
      </c>
      <c r="B279" s="20">
        <v>41884</v>
      </c>
      <c r="C279" s="19" t="s">
        <v>57</v>
      </c>
      <c r="D279" s="19" t="s">
        <v>62</v>
      </c>
      <c r="E279" s="19" t="s">
        <v>164</v>
      </c>
      <c r="F279" s="19" t="s">
        <v>118</v>
      </c>
      <c r="G279" s="19" t="s">
        <v>54</v>
      </c>
      <c r="H279" s="19">
        <v>1</v>
      </c>
      <c r="I279" s="21">
        <v>28.62</v>
      </c>
      <c r="J279" s="21">
        <v>12</v>
      </c>
      <c r="K279" s="21">
        <v>28.62</v>
      </c>
      <c r="L279" s="21">
        <v>16.62</v>
      </c>
    </row>
    <row r="280" spans="1:12" x14ac:dyDescent="0.35">
      <c r="A280" s="19" t="s">
        <v>410</v>
      </c>
      <c r="B280" s="20">
        <v>41885</v>
      </c>
      <c r="C280" s="19" t="s">
        <v>55</v>
      </c>
      <c r="D280" s="19" t="s">
        <v>63</v>
      </c>
      <c r="E280" s="19" t="s">
        <v>89</v>
      </c>
      <c r="F280" s="19" t="s">
        <v>142</v>
      </c>
      <c r="G280" s="19" t="s">
        <v>58</v>
      </c>
      <c r="H280" s="19">
        <v>4</v>
      </c>
      <c r="I280" s="21">
        <v>12.47</v>
      </c>
      <c r="J280" s="21">
        <v>4</v>
      </c>
      <c r="K280" s="21">
        <v>49.88</v>
      </c>
    </row>
    <row r="281" spans="1:12" x14ac:dyDescent="0.35">
      <c r="A281" s="19" t="s">
        <v>411</v>
      </c>
      <c r="B281" s="20">
        <v>41885</v>
      </c>
      <c r="C281" s="19" t="s">
        <v>55</v>
      </c>
      <c r="D281" s="19" t="s">
        <v>65</v>
      </c>
      <c r="E281" s="19" t="s">
        <v>139</v>
      </c>
      <c r="F281" s="19" t="s">
        <v>156</v>
      </c>
      <c r="G281" s="19" t="s">
        <v>54</v>
      </c>
      <c r="H281" s="19">
        <v>1</v>
      </c>
      <c r="I281" s="21">
        <v>47.72</v>
      </c>
      <c r="J281" s="21">
        <v>18</v>
      </c>
      <c r="K281" s="21">
        <v>47.72</v>
      </c>
    </row>
    <row r="282" spans="1:12" x14ac:dyDescent="0.35">
      <c r="A282" s="19" t="s">
        <v>412</v>
      </c>
      <c r="B282" s="20">
        <v>41885</v>
      </c>
      <c r="C282" s="19" t="s">
        <v>59</v>
      </c>
      <c r="D282" s="19" t="s">
        <v>68</v>
      </c>
      <c r="E282" s="19" t="s">
        <v>153</v>
      </c>
      <c r="F282" s="19" t="s">
        <v>132</v>
      </c>
      <c r="G282" s="19" t="s">
        <v>56</v>
      </c>
      <c r="H282" s="19">
        <v>2</v>
      </c>
      <c r="I282" s="21">
        <v>40.130000000000003</v>
      </c>
      <c r="J282" s="21">
        <v>15</v>
      </c>
      <c r="K282" s="21">
        <v>80.260000000000005</v>
      </c>
      <c r="L282" s="21">
        <v>50.26</v>
      </c>
    </row>
    <row r="283" spans="1:12" x14ac:dyDescent="0.35">
      <c r="A283" s="19" t="s">
        <v>413</v>
      </c>
      <c r="B283" s="20">
        <v>41885</v>
      </c>
      <c r="C283" s="19" t="s">
        <v>59</v>
      </c>
      <c r="D283" s="19" t="s">
        <v>68</v>
      </c>
      <c r="E283" s="19" t="s">
        <v>569</v>
      </c>
      <c r="F283" s="19" t="s">
        <v>125</v>
      </c>
      <c r="G283" s="19" t="s">
        <v>56</v>
      </c>
      <c r="H283" s="19">
        <v>1</v>
      </c>
      <c r="I283" s="21">
        <v>164.52</v>
      </c>
      <c r="J283" s="21">
        <v>70</v>
      </c>
      <c r="K283" s="21">
        <v>164.52</v>
      </c>
      <c r="L283" s="21">
        <v>94.52</v>
      </c>
    </row>
    <row r="284" spans="1:12" x14ac:dyDescent="0.35">
      <c r="A284" s="19" t="s">
        <v>414</v>
      </c>
      <c r="B284" s="20">
        <v>41886</v>
      </c>
      <c r="C284" s="19" t="s">
        <v>57</v>
      </c>
      <c r="D284" s="19" t="s">
        <v>66</v>
      </c>
      <c r="E284" s="19" t="s">
        <v>557</v>
      </c>
      <c r="F284" s="19" t="s">
        <v>132</v>
      </c>
      <c r="G284" s="19" t="s">
        <v>56</v>
      </c>
      <c r="H284" s="19">
        <v>1</v>
      </c>
      <c r="I284" s="21">
        <v>40.270000000000003</v>
      </c>
      <c r="J284" s="21">
        <v>15</v>
      </c>
      <c r="K284" s="21">
        <v>40.270000000000003</v>
      </c>
      <c r="L284" s="21">
        <v>25.27</v>
      </c>
    </row>
    <row r="285" spans="1:12" x14ac:dyDescent="0.35">
      <c r="A285" s="19" t="s">
        <v>415</v>
      </c>
      <c r="B285" s="20">
        <v>41887</v>
      </c>
      <c r="C285" s="19" t="s">
        <v>55</v>
      </c>
      <c r="D285" s="19" t="s">
        <v>65</v>
      </c>
      <c r="E285" s="19" t="s">
        <v>91</v>
      </c>
      <c r="F285" s="19" t="s">
        <v>132</v>
      </c>
      <c r="G285" s="19" t="s">
        <v>56</v>
      </c>
      <c r="H285" s="19">
        <v>1</v>
      </c>
      <c r="I285" s="21">
        <v>37.33</v>
      </c>
      <c r="J285" s="21">
        <v>15</v>
      </c>
      <c r="L285" s="21">
        <v>22.33</v>
      </c>
    </row>
    <row r="286" spans="1:12" x14ac:dyDescent="0.35">
      <c r="A286" s="19" t="s">
        <v>416</v>
      </c>
      <c r="B286" s="20">
        <v>41887</v>
      </c>
      <c r="C286" s="19" t="s">
        <v>59</v>
      </c>
      <c r="D286" s="19" t="s">
        <v>558</v>
      </c>
      <c r="E286" s="19" t="s">
        <v>89</v>
      </c>
      <c r="F286" s="19" t="s">
        <v>140</v>
      </c>
      <c r="G286" s="19" t="s">
        <v>56</v>
      </c>
      <c r="H286" s="19">
        <v>2</v>
      </c>
      <c r="I286" s="21">
        <v>184.74</v>
      </c>
      <c r="J286" s="21">
        <v>95</v>
      </c>
      <c r="K286" s="21">
        <v>369.48</v>
      </c>
      <c r="L286" s="21">
        <v>179.48</v>
      </c>
    </row>
    <row r="287" spans="1:12" x14ac:dyDescent="0.35">
      <c r="A287" s="19" t="s">
        <v>417</v>
      </c>
      <c r="B287" s="20">
        <v>41888</v>
      </c>
      <c r="C287" s="19" t="s">
        <v>55</v>
      </c>
      <c r="D287" s="19" t="s">
        <v>65</v>
      </c>
      <c r="E287" s="19" t="s">
        <v>150</v>
      </c>
      <c r="F287" s="19" t="s">
        <v>115</v>
      </c>
      <c r="G287" s="19" t="s">
        <v>56</v>
      </c>
      <c r="H287" s="19">
        <v>1</v>
      </c>
      <c r="I287" s="21">
        <v>464.46</v>
      </c>
      <c r="J287" s="21">
        <v>220</v>
      </c>
      <c r="K287" s="21">
        <v>464.46</v>
      </c>
      <c r="L287" s="21">
        <v>244.46</v>
      </c>
    </row>
    <row r="288" spans="1:12" x14ac:dyDescent="0.35">
      <c r="A288" s="19" t="s">
        <v>418</v>
      </c>
      <c r="B288" s="20">
        <v>41888</v>
      </c>
      <c r="C288" s="19" t="s">
        <v>55</v>
      </c>
      <c r="D288" s="19" t="s">
        <v>63</v>
      </c>
      <c r="E288" s="19" t="s">
        <v>91</v>
      </c>
      <c r="F288" s="19" t="s">
        <v>142</v>
      </c>
      <c r="G288" s="19" t="s">
        <v>58</v>
      </c>
      <c r="H288" s="19">
        <v>3</v>
      </c>
      <c r="I288" s="21">
        <v>12.07</v>
      </c>
      <c r="J288" s="21">
        <v>4</v>
      </c>
      <c r="K288" s="21">
        <v>36.21</v>
      </c>
      <c r="L288" s="21">
        <v>24.21</v>
      </c>
    </row>
    <row r="289" spans="1:12" x14ac:dyDescent="0.35">
      <c r="A289" s="19" t="s">
        <v>419</v>
      </c>
      <c r="B289" s="20">
        <v>41890</v>
      </c>
      <c r="C289" s="19" t="s">
        <v>59</v>
      </c>
      <c r="D289" s="19" t="s">
        <v>61</v>
      </c>
      <c r="E289" s="19" t="s">
        <v>134</v>
      </c>
      <c r="F289" s="19" t="s">
        <v>137</v>
      </c>
      <c r="G289" s="19" t="s">
        <v>54</v>
      </c>
      <c r="H289" s="19">
        <v>1</v>
      </c>
      <c r="I289" s="21">
        <v>337.65</v>
      </c>
      <c r="J289" s="21">
        <v>180</v>
      </c>
      <c r="K289" s="21">
        <v>337.65</v>
      </c>
      <c r="L289" s="21">
        <v>157.65</v>
      </c>
    </row>
    <row r="290" spans="1:12" x14ac:dyDescent="0.35">
      <c r="A290" s="19" t="s">
        <v>420</v>
      </c>
      <c r="B290" s="20">
        <v>41890</v>
      </c>
      <c r="C290" s="19" t="s">
        <v>59</v>
      </c>
      <c r="D290" s="19" t="s">
        <v>68</v>
      </c>
      <c r="E290" s="19" t="s">
        <v>144</v>
      </c>
      <c r="F290" s="19" t="s">
        <v>140</v>
      </c>
      <c r="G290" s="19" t="s">
        <v>56</v>
      </c>
      <c r="H290" s="19">
        <v>3</v>
      </c>
      <c r="I290" s="21">
        <v>183.66</v>
      </c>
      <c r="J290" s="21">
        <v>95</v>
      </c>
      <c r="K290" s="21">
        <v>550.98</v>
      </c>
    </row>
    <row r="291" spans="1:12" x14ac:dyDescent="0.35">
      <c r="A291" s="19" t="s">
        <v>421</v>
      </c>
      <c r="B291" s="20">
        <v>41890</v>
      </c>
      <c r="C291" s="19" t="s">
        <v>59</v>
      </c>
      <c r="D291" s="19" t="s">
        <v>61</v>
      </c>
      <c r="E291" s="19" t="s">
        <v>144</v>
      </c>
      <c r="F291" s="19" t="s">
        <v>132</v>
      </c>
      <c r="G291" s="19" t="s">
        <v>56</v>
      </c>
      <c r="H291" s="19">
        <v>1</v>
      </c>
      <c r="I291" s="21">
        <v>37.340000000000003</v>
      </c>
      <c r="J291" s="21">
        <v>15</v>
      </c>
      <c r="K291" s="21">
        <v>37.340000000000003</v>
      </c>
      <c r="L291" s="21">
        <v>22.34</v>
      </c>
    </row>
    <row r="292" spans="1:12" x14ac:dyDescent="0.35">
      <c r="A292" s="19" t="s">
        <v>422</v>
      </c>
      <c r="B292" s="20">
        <v>41893</v>
      </c>
      <c r="C292" s="19" t="s">
        <v>57</v>
      </c>
      <c r="D292" s="19" t="s">
        <v>62</v>
      </c>
      <c r="E292" s="19" t="s">
        <v>144</v>
      </c>
      <c r="F292" s="19" t="s">
        <v>125</v>
      </c>
      <c r="G292" s="19" t="s">
        <v>56</v>
      </c>
      <c r="H292" s="19">
        <v>3</v>
      </c>
      <c r="I292" s="21">
        <v>156.88</v>
      </c>
      <c r="J292" s="21">
        <v>70</v>
      </c>
      <c r="K292" s="21">
        <v>470.64</v>
      </c>
      <c r="L292" s="21">
        <v>260.64</v>
      </c>
    </row>
    <row r="293" spans="1:12" x14ac:dyDescent="0.35">
      <c r="A293" s="19" t="s">
        <v>423</v>
      </c>
      <c r="B293" s="20">
        <v>41895</v>
      </c>
      <c r="C293" s="19" t="s">
        <v>559</v>
      </c>
      <c r="D293" s="19" t="s">
        <v>67</v>
      </c>
      <c r="E293" s="19" t="s">
        <v>98</v>
      </c>
      <c r="F293" s="19" t="s">
        <v>156</v>
      </c>
      <c r="G293" s="19" t="s">
        <v>54</v>
      </c>
      <c r="H293" s="19">
        <v>3</v>
      </c>
      <c r="I293" s="21">
        <v>47.98</v>
      </c>
      <c r="J293" s="21">
        <v>18</v>
      </c>
      <c r="K293" s="21">
        <v>143.94</v>
      </c>
      <c r="L293" s="21">
        <v>89.94</v>
      </c>
    </row>
    <row r="294" spans="1:12" x14ac:dyDescent="0.35">
      <c r="A294" s="19" t="s">
        <v>424</v>
      </c>
      <c r="B294" s="20">
        <v>41895</v>
      </c>
      <c r="C294" s="19" t="s">
        <v>53</v>
      </c>
      <c r="D294" s="19" t="s">
        <v>67</v>
      </c>
      <c r="E294" s="19" t="s">
        <v>89</v>
      </c>
      <c r="F294" s="19" t="s">
        <v>125</v>
      </c>
      <c r="G294" s="19" t="s">
        <v>56</v>
      </c>
      <c r="H294" s="19">
        <v>4</v>
      </c>
      <c r="I294" s="21">
        <v>164.39</v>
      </c>
      <c r="J294" s="21">
        <v>70</v>
      </c>
      <c r="K294" s="21">
        <v>657.56</v>
      </c>
      <c r="L294" s="21">
        <v>377.56</v>
      </c>
    </row>
    <row r="295" spans="1:12" x14ac:dyDescent="0.35">
      <c r="A295" s="19" t="s">
        <v>425</v>
      </c>
      <c r="B295" s="20">
        <v>41898</v>
      </c>
      <c r="C295" s="19" t="s">
        <v>59</v>
      </c>
      <c r="D295" s="19" t="s">
        <v>68</v>
      </c>
      <c r="E295" s="19" t="s">
        <v>100</v>
      </c>
      <c r="F295" s="19" t="s">
        <v>128</v>
      </c>
      <c r="G295" s="19" t="s">
        <v>54</v>
      </c>
      <c r="H295" s="19">
        <v>4</v>
      </c>
      <c r="I295" s="21">
        <v>91.17</v>
      </c>
      <c r="J295" s="21">
        <v>40</v>
      </c>
      <c r="K295" s="21">
        <v>364.68</v>
      </c>
      <c r="L295" s="21">
        <v>204.68</v>
      </c>
    </row>
    <row r="296" spans="1:12" x14ac:dyDescent="0.35">
      <c r="A296" s="19" t="s">
        <v>426</v>
      </c>
      <c r="B296" s="20">
        <v>41898</v>
      </c>
      <c r="C296" s="19" t="s">
        <v>59</v>
      </c>
      <c r="D296" s="19" t="s">
        <v>61</v>
      </c>
      <c r="E296" s="19" t="s">
        <v>87</v>
      </c>
      <c r="F296" s="19" t="s">
        <v>118</v>
      </c>
      <c r="G296" s="19" t="s">
        <v>54</v>
      </c>
      <c r="H296" s="19">
        <v>2</v>
      </c>
      <c r="I296" s="21">
        <v>27.73</v>
      </c>
      <c r="J296" s="21">
        <v>12</v>
      </c>
      <c r="K296" s="21">
        <v>55.46</v>
      </c>
      <c r="L296" s="21">
        <v>31.46</v>
      </c>
    </row>
    <row r="297" spans="1:12" x14ac:dyDescent="0.35">
      <c r="A297" s="19" t="s">
        <v>427</v>
      </c>
      <c r="B297" s="20">
        <v>41899</v>
      </c>
      <c r="C297" s="19" t="s">
        <v>57</v>
      </c>
      <c r="D297" s="19" t="s">
        <v>64</v>
      </c>
      <c r="E297" s="19" t="s">
        <v>153</v>
      </c>
      <c r="F297" s="19" t="s">
        <v>118</v>
      </c>
      <c r="G297" s="19" t="s">
        <v>54</v>
      </c>
      <c r="H297" s="19">
        <v>4</v>
      </c>
      <c r="I297" s="21">
        <v>28.62</v>
      </c>
      <c r="J297" s="21">
        <v>12</v>
      </c>
      <c r="K297" s="21">
        <v>114.48</v>
      </c>
      <c r="L297" s="21">
        <v>66.48</v>
      </c>
    </row>
    <row r="298" spans="1:12" x14ac:dyDescent="0.35">
      <c r="A298" s="19" t="s">
        <v>428</v>
      </c>
      <c r="B298" s="20">
        <v>41900</v>
      </c>
      <c r="C298" s="19" t="s">
        <v>55</v>
      </c>
      <c r="D298" s="19" t="s">
        <v>65</v>
      </c>
      <c r="E298" s="19" t="s">
        <v>114</v>
      </c>
      <c r="F298" s="19" t="s">
        <v>115</v>
      </c>
      <c r="G298" s="19" t="s">
        <v>56</v>
      </c>
      <c r="H298" s="19">
        <v>1</v>
      </c>
      <c r="I298" s="21">
        <v>448.73</v>
      </c>
      <c r="J298" s="21">
        <v>220</v>
      </c>
      <c r="K298" s="21">
        <v>448.73</v>
      </c>
      <c r="L298" s="21">
        <v>228.73</v>
      </c>
    </row>
    <row r="299" spans="1:12" x14ac:dyDescent="0.35">
      <c r="A299" s="19" t="s">
        <v>429</v>
      </c>
      <c r="B299" s="20">
        <v>41902</v>
      </c>
      <c r="C299" s="19" t="s">
        <v>57</v>
      </c>
      <c r="D299" s="19" t="s">
        <v>62</v>
      </c>
      <c r="E299" s="19" t="s">
        <v>117</v>
      </c>
      <c r="F299" s="19" t="s">
        <v>123</v>
      </c>
      <c r="G299" s="19" t="s">
        <v>54</v>
      </c>
      <c r="H299" s="19">
        <v>1</v>
      </c>
      <c r="I299" s="21">
        <v>70.95</v>
      </c>
      <c r="J299" s="21">
        <v>28</v>
      </c>
      <c r="K299" s="21">
        <v>70.95</v>
      </c>
      <c r="L299" s="21">
        <v>42.95</v>
      </c>
    </row>
    <row r="300" spans="1:12" x14ac:dyDescent="0.35">
      <c r="A300" s="19" t="s">
        <v>430</v>
      </c>
      <c r="B300" s="20">
        <v>41903</v>
      </c>
      <c r="C300" s="19" t="s">
        <v>55</v>
      </c>
      <c r="D300" s="19" t="s">
        <v>65</v>
      </c>
      <c r="E300" s="19" t="s">
        <v>134</v>
      </c>
      <c r="F300" s="19" t="s">
        <v>156</v>
      </c>
      <c r="G300" s="19" t="s">
        <v>54</v>
      </c>
      <c r="H300" s="19">
        <v>2</v>
      </c>
      <c r="I300" s="21">
        <v>50.09</v>
      </c>
      <c r="J300" s="21">
        <v>18</v>
      </c>
      <c r="K300" s="21">
        <v>100.18</v>
      </c>
      <c r="L300" s="21">
        <v>64.180000000000007</v>
      </c>
    </row>
    <row r="301" spans="1:12" x14ac:dyDescent="0.35">
      <c r="A301" s="19" t="s">
        <v>431</v>
      </c>
      <c r="B301" s="20">
        <v>41903</v>
      </c>
      <c r="C301" s="19" t="s">
        <v>55</v>
      </c>
      <c r="D301" s="19" t="s">
        <v>63</v>
      </c>
      <c r="E301" s="19" t="s">
        <v>144</v>
      </c>
      <c r="F301" s="19" t="s">
        <v>128</v>
      </c>
      <c r="G301" s="19" t="s">
        <v>54</v>
      </c>
      <c r="H301" s="19">
        <v>1</v>
      </c>
      <c r="I301" s="21">
        <v>92.96</v>
      </c>
      <c r="J301" s="21">
        <v>40</v>
      </c>
      <c r="K301" s="21">
        <v>92.96</v>
      </c>
      <c r="L301" s="21">
        <v>52.96</v>
      </c>
    </row>
    <row r="302" spans="1:12" x14ac:dyDescent="0.35">
      <c r="A302" s="19" t="s">
        <v>432</v>
      </c>
      <c r="B302" s="20">
        <v>41904</v>
      </c>
      <c r="C302" s="19" t="s">
        <v>59</v>
      </c>
      <c r="D302" s="19" t="s">
        <v>61</v>
      </c>
      <c r="E302" s="19" t="s">
        <v>150</v>
      </c>
      <c r="F302" s="19" t="s">
        <v>115</v>
      </c>
      <c r="G302" s="19" t="s">
        <v>56</v>
      </c>
      <c r="H302" s="19">
        <v>5</v>
      </c>
      <c r="I302" s="21">
        <v>462.85</v>
      </c>
      <c r="J302" s="21">
        <v>220</v>
      </c>
      <c r="L302" s="21">
        <v>1214.25</v>
      </c>
    </row>
    <row r="303" spans="1:12" x14ac:dyDescent="0.35">
      <c r="A303" s="19" t="s">
        <v>433</v>
      </c>
      <c r="B303" s="20">
        <v>41904</v>
      </c>
      <c r="C303" s="19" t="s">
        <v>57</v>
      </c>
      <c r="D303" s="19" t="s">
        <v>66</v>
      </c>
      <c r="E303" s="19" t="s">
        <v>100</v>
      </c>
      <c r="F303" s="19" t="s">
        <v>128</v>
      </c>
      <c r="G303" s="19" t="s">
        <v>54</v>
      </c>
      <c r="H303" s="19">
        <v>2</v>
      </c>
      <c r="I303" s="21">
        <v>87.19</v>
      </c>
      <c r="J303" s="21">
        <v>40</v>
      </c>
      <c r="K303" s="21">
        <v>174.38</v>
      </c>
      <c r="L303" s="21">
        <v>94.38</v>
      </c>
    </row>
    <row r="304" spans="1:12" x14ac:dyDescent="0.35">
      <c r="A304" s="19" t="s">
        <v>434</v>
      </c>
      <c r="B304" s="20">
        <v>41905</v>
      </c>
      <c r="C304" s="19" t="s">
        <v>57</v>
      </c>
      <c r="D304" s="19" t="s">
        <v>66</v>
      </c>
      <c r="E304" s="19" t="s">
        <v>134</v>
      </c>
      <c r="F304" s="19" t="s">
        <v>128</v>
      </c>
      <c r="G304" s="19" t="s">
        <v>54</v>
      </c>
      <c r="H304" s="19">
        <v>3</v>
      </c>
      <c r="I304" s="21">
        <v>86.36</v>
      </c>
      <c r="J304" s="21">
        <v>40</v>
      </c>
      <c r="K304" s="21">
        <v>259.08</v>
      </c>
    </row>
    <row r="305" spans="1:12" x14ac:dyDescent="0.35">
      <c r="A305" s="19" t="s">
        <v>435</v>
      </c>
      <c r="B305" s="20">
        <v>41906</v>
      </c>
      <c r="C305" s="19" t="s">
        <v>57</v>
      </c>
      <c r="D305" s="19" t="s">
        <v>66</v>
      </c>
      <c r="E305" s="19" t="s">
        <v>91</v>
      </c>
      <c r="F305" s="19" t="s">
        <v>115</v>
      </c>
      <c r="G305" s="19" t="s">
        <v>56</v>
      </c>
      <c r="H305" s="19">
        <v>1</v>
      </c>
      <c r="I305" s="21">
        <v>467.02</v>
      </c>
      <c r="J305" s="21">
        <v>220</v>
      </c>
      <c r="K305" s="21">
        <v>467.02</v>
      </c>
      <c r="L305" s="21">
        <v>247.02</v>
      </c>
    </row>
    <row r="306" spans="1:12" x14ac:dyDescent="0.35">
      <c r="A306" s="19" t="s">
        <v>436</v>
      </c>
      <c r="B306" s="20">
        <v>41909</v>
      </c>
      <c r="C306" s="19" t="s">
        <v>55</v>
      </c>
      <c r="D306" s="19" t="s">
        <v>63</v>
      </c>
      <c r="E306" s="19" t="s">
        <v>87</v>
      </c>
      <c r="F306" s="19" t="s">
        <v>115</v>
      </c>
      <c r="G306" s="19" t="s">
        <v>56</v>
      </c>
      <c r="H306" s="19">
        <v>1</v>
      </c>
      <c r="I306" s="21">
        <v>461.64</v>
      </c>
      <c r="J306" s="21">
        <v>220</v>
      </c>
      <c r="K306" s="21">
        <v>461.64</v>
      </c>
      <c r="L306" s="21">
        <v>241.64</v>
      </c>
    </row>
    <row r="307" spans="1:12" x14ac:dyDescent="0.35">
      <c r="A307" s="19" t="s">
        <v>437</v>
      </c>
      <c r="B307" s="20">
        <v>41909</v>
      </c>
      <c r="C307" s="19" t="s">
        <v>57</v>
      </c>
      <c r="D307" s="19" t="s">
        <v>62</v>
      </c>
      <c r="E307" s="19" t="s">
        <v>87</v>
      </c>
      <c r="F307" s="19" t="s">
        <v>125</v>
      </c>
      <c r="G307" s="19" t="s">
        <v>56</v>
      </c>
      <c r="H307" s="19">
        <v>1</v>
      </c>
      <c r="I307" s="21">
        <v>156.82</v>
      </c>
      <c r="J307" s="21">
        <v>70</v>
      </c>
      <c r="K307" s="21">
        <v>156.82</v>
      </c>
      <c r="L307" s="21">
        <v>86.82</v>
      </c>
    </row>
    <row r="308" spans="1:12" x14ac:dyDescent="0.35">
      <c r="A308" s="19" t="s">
        <v>438</v>
      </c>
      <c r="B308" s="20">
        <v>41909</v>
      </c>
      <c r="C308" s="19" t="s">
        <v>53</v>
      </c>
      <c r="D308" s="19" t="s">
        <v>67</v>
      </c>
      <c r="E308" s="19" t="s">
        <v>153</v>
      </c>
      <c r="F308" s="19" t="s">
        <v>123</v>
      </c>
      <c r="G308" s="19" t="s">
        <v>54</v>
      </c>
      <c r="H308" s="19">
        <v>1</v>
      </c>
      <c r="I308" s="21">
        <v>68.150000000000006</v>
      </c>
      <c r="J308" s="21">
        <v>28</v>
      </c>
      <c r="K308" s="21">
        <v>68.150000000000006</v>
      </c>
      <c r="L308" s="21">
        <v>40.15</v>
      </c>
    </row>
    <row r="309" spans="1:12" x14ac:dyDescent="0.35">
      <c r="A309" s="19" t="s">
        <v>439</v>
      </c>
      <c r="B309" s="20">
        <v>41909</v>
      </c>
      <c r="C309" s="19" t="s">
        <v>57</v>
      </c>
      <c r="D309" s="19" t="s">
        <v>66</v>
      </c>
      <c r="E309" s="19" t="s">
        <v>146</v>
      </c>
      <c r="F309" s="19" t="s">
        <v>132</v>
      </c>
      <c r="G309" s="19" t="s">
        <v>56</v>
      </c>
      <c r="H309" s="19">
        <v>2</v>
      </c>
      <c r="I309" s="21">
        <v>38.36</v>
      </c>
      <c r="J309" s="21">
        <v>15</v>
      </c>
      <c r="K309" s="21">
        <v>76.72</v>
      </c>
      <c r="L309" s="21">
        <v>46.72</v>
      </c>
    </row>
    <row r="310" spans="1:12" x14ac:dyDescent="0.35">
      <c r="A310" s="19" t="s">
        <v>440</v>
      </c>
      <c r="B310" s="20">
        <v>41911</v>
      </c>
      <c r="C310" s="19" t="s">
        <v>59</v>
      </c>
      <c r="D310" s="19" t="s">
        <v>68</v>
      </c>
      <c r="E310" s="19" t="s">
        <v>114</v>
      </c>
      <c r="F310" s="19" t="s">
        <v>115</v>
      </c>
      <c r="G310" s="19" t="s">
        <v>56</v>
      </c>
      <c r="H310" s="19">
        <v>1</v>
      </c>
      <c r="I310" s="21">
        <v>430.1</v>
      </c>
      <c r="J310" s="21">
        <v>220</v>
      </c>
      <c r="K310" s="21">
        <v>430.1</v>
      </c>
      <c r="L310" s="21">
        <v>210.1</v>
      </c>
    </row>
    <row r="311" spans="1:12" x14ac:dyDescent="0.35">
      <c r="A311" s="19" t="s">
        <v>441</v>
      </c>
      <c r="B311" s="20">
        <v>41911</v>
      </c>
      <c r="C311" s="19" t="s">
        <v>55</v>
      </c>
      <c r="D311" s="19" t="s">
        <v>65</v>
      </c>
      <c r="E311" s="19" t="s">
        <v>146</v>
      </c>
      <c r="F311" s="19" t="s">
        <v>137</v>
      </c>
      <c r="G311" s="19" t="s">
        <v>54</v>
      </c>
      <c r="H311" s="19">
        <v>3</v>
      </c>
      <c r="I311" s="21">
        <v>339.49</v>
      </c>
      <c r="J311" s="21">
        <v>180</v>
      </c>
      <c r="K311" s="21">
        <v>1018.47</v>
      </c>
      <c r="L311" s="21">
        <v>478.47</v>
      </c>
    </row>
    <row r="312" spans="1:12" x14ac:dyDescent="0.35">
      <c r="A312" s="19" t="s">
        <v>442</v>
      </c>
      <c r="B312" s="20">
        <v>41915</v>
      </c>
      <c r="C312" s="19" t="s">
        <v>53</v>
      </c>
      <c r="D312" s="19" t="s">
        <v>64</v>
      </c>
      <c r="E312" s="19" t="s">
        <v>87</v>
      </c>
      <c r="F312" s="19" t="s">
        <v>123</v>
      </c>
      <c r="G312" s="19" t="s">
        <v>54</v>
      </c>
      <c r="H312" s="19">
        <v>1</v>
      </c>
      <c r="I312" s="21">
        <v>90.54</v>
      </c>
      <c r="J312" s="21">
        <v>28</v>
      </c>
      <c r="K312" s="21">
        <v>90.54</v>
      </c>
      <c r="L312" s="21">
        <v>62.54</v>
      </c>
    </row>
    <row r="313" spans="1:12" x14ac:dyDescent="0.35">
      <c r="A313" s="19" t="s">
        <v>443</v>
      </c>
      <c r="B313" s="20">
        <v>41915</v>
      </c>
      <c r="C313" s="19" t="s">
        <v>55</v>
      </c>
      <c r="D313" s="19" t="s">
        <v>63</v>
      </c>
      <c r="E313" s="19" t="s">
        <v>131</v>
      </c>
      <c r="F313" s="19" t="s">
        <v>123</v>
      </c>
      <c r="G313" s="19" t="s">
        <v>54</v>
      </c>
      <c r="H313" s="19">
        <v>1</v>
      </c>
      <c r="I313" s="21">
        <v>96.43</v>
      </c>
      <c r="J313" s="21">
        <v>28</v>
      </c>
      <c r="L313" s="21">
        <v>68.430000000000007</v>
      </c>
    </row>
    <row r="314" spans="1:12" x14ac:dyDescent="0.35">
      <c r="A314" s="19" t="s">
        <v>444</v>
      </c>
      <c r="B314" s="20">
        <v>41915</v>
      </c>
      <c r="C314" s="19" t="s">
        <v>59</v>
      </c>
      <c r="D314" s="19" t="s">
        <v>61</v>
      </c>
      <c r="E314" s="19" t="s">
        <v>134</v>
      </c>
      <c r="F314" s="19" t="s">
        <v>142</v>
      </c>
      <c r="G314" s="19" t="s">
        <v>58</v>
      </c>
      <c r="H314" s="19">
        <v>1</v>
      </c>
      <c r="I314" s="21">
        <v>16.559999999999999</v>
      </c>
      <c r="J314" s="21">
        <v>4</v>
      </c>
      <c r="K314" s="21">
        <v>16.559999999999999</v>
      </c>
      <c r="L314" s="21">
        <v>12.56</v>
      </c>
    </row>
    <row r="315" spans="1:12" x14ac:dyDescent="0.35">
      <c r="A315" s="19" t="s">
        <v>445</v>
      </c>
      <c r="B315" s="20">
        <v>41916</v>
      </c>
      <c r="C315" s="19" t="s">
        <v>53</v>
      </c>
      <c r="D315" s="19" t="s">
        <v>64</v>
      </c>
      <c r="E315" s="19" t="s">
        <v>144</v>
      </c>
      <c r="F315" s="19" t="s">
        <v>156</v>
      </c>
      <c r="G315" s="19" t="s">
        <v>54</v>
      </c>
      <c r="H315" s="19">
        <v>1</v>
      </c>
      <c r="I315" s="21">
        <v>65.44</v>
      </c>
      <c r="J315" s="21">
        <v>18</v>
      </c>
      <c r="K315" s="21">
        <v>65.44</v>
      </c>
      <c r="L315" s="21">
        <v>47.44</v>
      </c>
    </row>
    <row r="316" spans="1:12" x14ac:dyDescent="0.35">
      <c r="A316" s="19" t="s">
        <v>446</v>
      </c>
      <c r="B316" s="20">
        <v>41917</v>
      </c>
      <c r="C316" s="19" t="s">
        <v>53</v>
      </c>
      <c r="D316" s="19" t="s">
        <v>67</v>
      </c>
      <c r="E316" s="19" t="s">
        <v>89</v>
      </c>
      <c r="F316" s="19" t="s">
        <v>140</v>
      </c>
      <c r="G316" s="19" t="s">
        <v>56</v>
      </c>
      <c r="H316" s="19">
        <v>2</v>
      </c>
      <c r="I316" s="21">
        <v>255.22</v>
      </c>
      <c r="J316" s="21">
        <v>95</v>
      </c>
      <c r="K316" s="21">
        <v>510.44</v>
      </c>
      <c r="L316" s="21">
        <v>320.44</v>
      </c>
    </row>
    <row r="317" spans="1:12" x14ac:dyDescent="0.35">
      <c r="A317" s="19" t="s">
        <v>447</v>
      </c>
      <c r="B317" s="20">
        <v>41918</v>
      </c>
      <c r="C317" s="19" t="s">
        <v>53</v>
      </c>
      <c r="D317" s="19" t="s">
        <v>67</v>
      </c>
      <c r="E317" s="19" t="s">
        <v>114</v>
      </c>
      <c r="F317" s="19" t="s">
        <v>137</v>
      </c>
      <c r="G317" s="19" t="s">
        <v>54</v>
      </c>
      <c r="H317" s="19">
        <v>2</v>
      </c>
      <c r="I317" s="21">
        <v>456.65</v>
      </c>
      <c r="J317" s="21">
        <v>180</v>
      </c>
      <c r="K317" s="21">
        <v>913.3</v>
      </c>
      <c r="L317" s="21">
        <v>553.29999999999995</v>
      </c>
    </row>
    <row r="318" spans="1:12" x14ac:dyDescent="0.35">
      <c r="A318" s="19" t="s">
        <v>448</v>
      </c>
      <c r="B318" s="20">
        <v>41919</v>
      </c>
      <c r="C318" s="19" t="s">
        <v>57</v>
      </c>
      <c r="D318" s="19" t="s">
        <v>61</v>
      </c>
      <c r="E318" s="19" t="s">
        <v>98</v>
      </c>
      <c r="F318" s="19" t="s">
        <v>142</v>
      </c>
      <c r="G318" s="19" t="s">
        <v>58</v>
      </c>
      <c r="H318" s="19">
        <v>2</v>
      </c>
      <c r="I318" s="21">
        <v>16.75</v>
      </c>
      <c r="J318" s="21">
        <v>4</v>
      </c>
      <c r="K318" s="21">
        <v>33.5</v>
      </c>
      <c r="L318" s="21">
        <v>25.5</v>
      </c>
    </row>
    <row r="319" spans="1:12" x14ac:dyDescent="0.35">
      <c r="A319" s="19" t="s">
        <v>449</v>
      </c>
      <c r="B319" s="20">
        <v>41919</v>
      </c>
      <c r="C319" s="19" t="s">
        <v>55</v>
      </c>
      <c r="D319" s="19" t="s">
        <v>65</v>
      </c>
      <c r="E319" s="19" t="s">
        <v>164</v>
      </c>
      <c r="F319" s="19" t="s">
        <v>156</v>
      </c>
      <c r="G319" s="19" t="s">
        <v>54</v>
      </c>
      <c r="H319" s="19">
        <v>1</v>
      </c>
      <c r="I319" s="21">
        <v>69.45</v>
      </c>
      <c r="J319" s="21">
        <v>18</v>
      </c>
      <c r="L319" s="21">
        <v>51.45</v>
      </c>
    </row>
    <row r="320" spans="1:12" x14ac:dyDescent="0.35">
      <c r="A320" s="19" t="s">
        <v>450</v>
      </c>
      <c r="B320" s="20">
        <v>41919</v>
      </c>
      <c r="C320" s="19" t="s">
        <v>55</v>
      </c>
      <c r="D320" s="19" t="s">
        <v>65</v>
      </c>
      <c r="E320" s="19" t="s">
        <v>569</v>
      </c>
      <c r="F320" s="19" t="s">
        <v>132</v>
      </c>
      <c r="G320" s="19" t="s">
        <v>56</v>
      </c>
      <c r="H320" s="19">
        <v>1</v>
      </c>
      <c r="I320" s="21">
        <v>52.87</v>
      </c>
      <c r="J320" s="21">
        <v>15</v>
      </c>
      <c r="K320" s="21">
        <v>52.87</v>
      </c>
      <c r="L320" s="21">
        <v>37.869999999999997</v>
      </c>
    </row>
    <row r="321" spans="1:12" x14ac:dyDescent="0.35">
      <c r="A321" s="19" t="s">
        <v>451</v>
      </c>
      <c r="B321" s="20">
        <v>41920</v>
      </c>
      <c r="C321" s="19" t="s">
        <v>57</v>
      </c>
      <c r="D321" s="19" t="s">
        <v>68</v>
      </c>
      <c r="E321" s="19" t="s">
        <v>117</v>
      </c>
      <c r="F321" s="19" t="s">
        <v>142</v>
      </c>
      <c r="G321" s="19" t="s">
        <v>58</v>
      </c>
      <c r="H321" s="19">
        <v>1</v>
      </c>
      <c r="I321" s="21">
        <v>16.43</v>
      </c>
      <c r="J321" s="21">
        <v>4</v>
      </c>
      <c r="L321" s="21">
        <v>12.43</v>
      </c>
    </row>
    <row r="322" spans="1:12" x14ac:dyDescent="0.35">
      <c r="A322" s="19" t="s">
        <v>452</v>
      </c>
      <c r="B322" s="20">
        <v>41921</v>
      </c>
      <c r="C322" s="19" t="s">
        <v>53</v>
      </c>
      <c r="D322" s="19" t="s">
        <v>64</v>
      </c>
      <c r="E322" s="19" t="s">
        <v>98</v>
      </c>
      <c r="F322" s="19" t="s">
        <v>123</v>
      </c>
      <c r="G322" s="19" t="s">
        <v>54</v>
      </c>
      <c r="H322" s="19">
        <v>1</v>
      </c>
      <c r="I322" s="21">
        <v>97.58</v>
      </c>
      <c r="J322" s="21">
        <v>28</v>
      </c>
      <c r="K322" s="21">
        <v>97.58</v>
      </c>
      <c r="L322" s="21">
        <v>69.58</v>
      </c>
    </row>
    <row r="323" spans="1:12" x14ac:dyDescent="0.35">
      <c r="A323" s="19" t="s">
        <v>453</v>
      </c>
      <c r="B323" s="20">
        <v>41921</v>
      </c>
      <c r="C323" s="19" t="s">
        <v>53</v>
      </c>
      <c r="D323" s="19" t="s">
        <v>67</v>
      </c>
      <c r="E323" s="19" t="s">
        <v>134</v>
      </c>
      <c r="F323" s="19" t="s">
        <v>156</v>
      </c>
      <c r="G323" s="19" t="s">
        <v>54</v>
      </c>
      <c r="H323" s="19">
        <v>2</v>
      </c>
      <c r="I323" s="21">
        <v>64.77</v>
      </c>
      <c r="J323" s="21">
        <v>18</v>
      </c>
      <c r="K323" s="21">
        <v>129.54</v>
      </c>
      <c r="L323" s="21">
        <v>93.54</v>
      </c>
    </row>
    <row r="324" spans="1:12" x14ac:dyDescent="0.35">
      <c r="A324" s="19" t="s">
        <v>454</v>
      </c>
      <c r="B324" s="20">
        <v>41921</v>
      </c>
      <c r="C324" s="19" t="s">
        <v>57</v>
      </c>
      <c r="D324" s="19" t="s">
        <v>63</v>
      </c>
      <c r="E324" s="19" t="s">
        <v>87</v>
      </c>
      <c r="F324" s="19" t="s">
        <v>115</v>
      </c>
      <c r="G324" s="19" t="s">
        <v>56</v>
      </c>
      <c r="H324" s="19">
        <v>2</v>
      </c>
      <c r="I324" s="21">
        <v>614.79999999999995</v>
      </c>
      <c r="J324" s="21">
        <v>220</v>
      </c>
      <c r="K324" s="21">
        <v>1229.5999999999999</v>
      </c>
      <c r="L324" s="21">
        <v>789.6</v>
      </c>
    </row>
    <row r="325" spans="1:12" x14ac:dyDescent="0.35">
      <c r="A325" s="19" t="s">
        <v>455</v>
      </c>
      <c r="B325" s="20">
        <v>41922</v>
      </c>
      <c r="C325" s="19" t="s">
        <v>559</v>
      </c>
      <c r="D325" s="19" t="s">
        <v>64</v>
      </c>
      <c r="E325" s="19" t="s">
        <v>98</v>
      </c>
      <c r="F325" s="19" t="s">
        <v>137</v>
      </c>
      <c r="G325" s="19" t="s">
        <v>54</v>
      </c>
      <c r="H325" s="19">
        <v>2</v>
      </c>
      <c r="I325" s="21">
        <v>453.24</v>
      </c>
      <c r="J325" s="21">
        <v>180</v>
      </c>
      <c r="K325" s="21">
        <v>906.48</v>
      </c>
      <c r="L325" s="21">
        <v>546.48</v>
      </c>
    </row>
    <row r="326" spans="1:12" x14ac:dyDescent="0.35">
      <c r="A326" s="19" t="s">
        <v>456</v>
      </c>
      <c r="B326" s="20">
        <v>41922</v>
      </c>
      <c r="C326" s="19" t="s">
        <v>59</v>
      </c>
      <c r="D326" s="19" t="s">
        <v>61</v>
      </c>
      <c r="E326" s="19" t="s">
        <v>89</v>
      </c>
      <c r="F326" s="19" t="s">
        <v>142</v>
      </c>
      <c r="G326" s="19" t="s">
        <v>58</v>
      </c>
      <c r="H326" s="19">
        <v>1</v>
      </c>
      <c r="I326" s="21">
        <v>17.61</v>
      </c>
      <c r="J326" s="21">
        <v>4</v>
      </c>
      <c r="K326" s="21">
        <v>17.61</v>
      </c>
      <c r="L326" s="21">
        <v>13.61</v>
      </c>
    </row>
    <row r="327" spans="1:12" x14ac:dyDescent="0.35">
      <c r="A327" s="19" t="s">
        <v>457</v>
      </c>
      <c r="B327" s="20">
        <v>41922</v>
      </c>
      <c r="C327" s="19" t="s">
        <v>59</v>
      </c>
      <c r="D327" s="19" t="s">
        <v>61</v>
      </c>
      <c r="E327" s="19" t="s">
        <v>164</v>
      </c>
      <c r="F327" s="19" t="s">
        <v>118</v>
      </c>
      <c r="G327" s="19" t="s">
        <v>54</v>
      </c>
      <c r="H327" s="19">
        <v>1</v>
      </c>
      <c r="I327" s="21">
        <v>41.11</v>
      </c>
      <c r="J327" s="21">
        <v>12</v>
      </c>
      <c r="K327" s="21">
        <v>41.11</v>
      </c>
      <c r="L327" s="21">
        <v>29.11</v>
      </c>
    </row>
    <row r="328" spans="1:12" x14ac:dyDescent="0.35">
      <c r="A328" s="19" t="s">
        <v>458</v>
      </c>
      <c r="B328" s="20">
        <v>41922</v>
      </c>
      <c r="C328" s="19" t="s">
        <v>57</v>
      </c>
      <c r="D328" s="19" t="s">
        <v>64</v>
      </c>
      <c r="E328" s="19" t="s">
        <v>98</v>
      </c>
      <c r="F328" s="19" t="s">
        <v>125</v>
      </c>
      <c r="G328" s="19" t="s">
        <v>56</v>
      </c>
      <c r="H328" s="19">
        <v>1</v>
      </c>
      <c r="I328" s="21">
        <v>217.68</v>
      </c>
      <c r="J328" s="21">
        <v>70</v>
      </c>
      <c r="K328" s="21">
        <v>217.68</v>
      </c>
      <c r="L328" s="21">
        <v>147.68</v>
      </c>
    </row>
    <row r="329" spans="1:12" x14ac:dyDescent="0.35">
      <c r="A329" s="19" t="s">
        <v>459</v>
      </c>
      <c r="B329" s="20">
        <v>41923</v>
      </c>
      <c r="C329" s="19" t="s">
        <v>53</v>
      </c>
      <c r="D329" s="19" t="s">
        <v>67</v>
      </c>
      <c r="E329" s="19" t="s">
        <v>164</v>
      </c>
      <c r="F329" s="19" t="s">
        <v>125</v>
      </c>
      <c r="G329" s="19" t="s">
        <v>56</v>
      </c>
      <c r="H329" s="19">
        <v>3</v>
      </c>
      <c r="I329" s="21">
        <v>220.42</v>
      </c>
      <c r="J329" s="21">
        <v>70</v>
      </c>
      <c r="K329" s="21">
        <v>661.26</v>
      </c>
      <c r="L329" s="21">
        <v>451.26</v>
      </c>
    </row>
    <row r="330" spans="1:12" x14ac:dyDescent="0.35">
      <c r="A330" s="19" t="s">
        <v>460</v>
      </c>
      <c r="B330" s="20">
        <v>41923</v>
      </c>
      <c r="C330" s="19" t="s">
        <v>59</v>
      </c>
      <c r="D330" s="19" t="s">
        <v>61</v>
      </c>
      <c r="E330" s="19" t="s">
        <v>98</v>
      </c>
      <c r="F330" s="19" t="s">
        <v>156</v>
      </c>
      <c r="G330" s="19" t="s">
        <v>54</v>
      </c>
      <c r="H330" s="19">
        <v>3</v>
      </c>
      <c r="I330" s="21">
        <v>64.19</v>
      </c>
      <c r="J330" s="21">
        <v>18</v>
      </c>
      <c r="K330" s="21">
        <v>192.57</v>
      </c>
      <c r="L330" s="21">
        <v>138.57</v>
      </c>
    </row>
    <row r="331" spans="1:12" x14ac:dyDescent="0.35">
      <c r="A331" s="19" t="s">
        <v>461</v>
      </c>
      <c r="B331" s="20">
        <v>41923</v>
      </c>
      <c r="C331" s="19" t="s">
        <v>55</v>
      </c>
      <c r="D331" s="19" t="s">
        <v>570</v>
      </c>
      <c r="E331" s="19" t="s">
        <v>131</v>
      </c>
      <c r="F331" s="19" t="s">
        <v>156</v>
      </c>
      <c r="G331" s="19" t="s">
        <v>54</v>
      </c>
      <c r="H331" s="19">
        <v>1</v>
      </c>
      <c r="I331" s="21">
        <v>63.82</v>
      </c>
      <c r="J331" s="21">
        <v>18</v>
      </c>
      <c r="K331" s="21">
        <v>63.82</v>
      </c>
      <c r="L331" s="21">
        <v>45.82</v>
      </c>
    </row>
    <row r="332" spans="1:12" x14ac:dyDescent="0.35">
      <c r="A332" s="19" t="s">
        <v>462</v>
      </c>
      <c r="B332" s="20">
        <v>41924</v>
      </c>
      <c r="C332" s="19" t="s">
        <v>55</v>
      </c>
      <c r="D332" s="19" t="s">
        <v>65</v>
      </c>
      <c r="E332" s="19" t="s">
        <v>91</v>
      </c>
      <c r="F332" s="19" t="s">
        <v>128</v>
      </c>
      <c r="G332" s="19" t="s">
        <v>54</v>
      </c>
      <c r="H332" s="19">
        <v>2</v>
      </c>
      <c r="I332" s="21">
        <v>114.35</v>
      </c>
      <c r="J332" s="21">
        <v>40</v>
      </c>
      <c r="K332" s="21">
        <v>228.7</v>
      </c>
      <c r="L332" s="21">
        <v>148.69999999999999</v>
      </c>
    </row>
    <row r="333" spans="1:12" x14ac:dyDescent="0.35">
      <c r="A333" s="19" t="s">
        <v>463</v>
      </c>
      <c r="B333" s="20">
        <v>41925</v>
      </c>
      <c r="C333" s="19" t="s">
        <v>55</v>
      </c>
      <c r="D333" s="19" t="s">
        <v>65</v>
      </c>
      <c r="E333" s="19" t="s">
        <v>131</v>
      </c>
      <c r="F333" s="19" t="s">
        <v>140</v>
      </c>
      <c r="G333" s="19" t="s">
        <v>56</v>
      </c>
      <c r="H333" s="19">
        <v>1</v>
      </c>
      <c r="I333" s="21">
        <v>243.21</v>
      </c>
      <c r="J333" s="21">
        <v>95</v>
      </c>
      <c r="K333" s="21">
        <v>243.21</v>
      </c>
      <c r="L333" s="21">
        <v>148.21</v>
      </c>
    </row>
    <row r="334" spans="1:12" x14ac:dyDescent="0.35">
      <c r="A334" s="19" t="s">
        <v>464</v>
      </c>
      <c r="B334" s="20">
        <v>41925</v>
      </c>
      <c r="C334" s="19" t="s">
        <v>59</v>
      </c>
      <c r="D334" s="19" t="s">
        <v>66</v>
      </c>
      <c r="E334" s="19" t="s">
        <v>89</v>
      </c>
      <c r="F334" s="19" t="s">
        <v>142</v>
      </c>
      <c r="G334" s="19" t="s">
        <v>58</v>
      </c>
      <c r="H334" s="19">
        <v>2</v>
      </c>
      <c r="I334" s="21">
        <v>16.8</v>
      </c>
      <c r="J334" s="21">
        <v>4</v>
      </c>
      <c r="L334" s="21">
        <v>25.6</v>
      </c>
    </row>
    <row r="335" spans="1:12" x14ac:dyDescent="0.35">
      <c r="A335" s="19" t="s">
        <v>465</v>
      </c>
      <c r="B335" s="20">
        <v>41927</v>
      </c>
      <c r="C335" s="19" t="s">
        <v>57</v>
      </c>
      <c r="D335" s="19" t="s">
        <v>66</v>
      </c>
      <c r="E335" s="19" t="s">
        <v>87</v>
      </c>
      <c r="F335" s="19" t="s">
        <v>137</v>
      </c>
      <c r="G335" s="19" t="s">
        <v>54</v>
      </c>
      <c r="H335" s="19">
        <v>4</v>
      </c>
      <c r="I335" s="21">
        <v>463.74</v>
      </c>
      <c r="J335" s="21">
        <v>180</v>
      </c>
      <c r="K335" s="21">
        <v>1854.96</v>
      </c>
      <c r="L335" s="21">
        <v>1134.96</v>
      </c>
    </row>
    <row r="336" spans="1:12" x14ac:dyDescent="0.35">
      <c r="A336" s="19" t="s">
        <v>466</v>
      </c>
      <c r="B336" s="20">
        <v>41927</v>
      </c>
      <c r="C336" s="19" t="s">
        <v>57</v>
      </c>
      <c r="D336" s="19" t="s">
        <v>62</v>
      </c>
      <c r="E336" s="19" t="s">
        <v>144</v>
      </c>
      <c r="F336" s="19" t="s">
        <v>128</v>
      </c>
      <c r="G336" s="19" t="s">
        <v>54</v>
      </c>
      <c r="H336" s="19">
        <v>1</v>
      </c>
      <c r="I336" s="21">
        <v>121.49</v>
      </c>
      <c r="J336" s="21">
        <v>40</v>
      </c>
      <c r="K336" s="21">
        <v>121.49</v>
      </c>
      <c r="L336" s="21">
        <v>81.489999999999995</v>
      </c>
    </row>
    <row r="337" spans="1:12" x14ac:dyDescent="0.35">
      <c r="A337" s="19" t="s">
        <v>467</v>
      </c>
      <c r="B337" s="20">
        <v>41927</v>
      </c>
      <c r="C337" s="19" t="s">
        <v>57</v>
      </c>
      <c r="D337" s="19" t="s">
        <v>62</v>
      </c>
      <c r="E337" s="19" t="s">
        <v>134</v>
      </c>
      <c r="F337" s="19" t="s">
        <v>118</v>
      </c>
      <c r="G337" s="19" t="s">
        <v>54</v>
      </c>
      <c r="H337" s="19">
        <v>1</v>
      </c>
      <c r="I337" s="21">
        <v>38.159999999999997</v>
      </c>
      <c r="J337" s="21">
        <v>12</v>
      </c>
      <c r="K337" s="21">
        <v>38.159999999999997</v>
      </c>
      <c r="L337" s="21">
        <v>26.16</v>
      </c>
    </row>
    <row r="338" spans="1:12" x14ac:dyDescent="0.35">
      <c r="A338" s="19" t="s">
        <v>468</v>
      </c>
      <c r="B338" s="20">
        <v>41930</v>
      </c>
      <c r="C338" s="19" t="s">
        <v>57</v>
      </c>
      <c r="D338" s="19" t="s">
        <v>66</v>
      </c>
      <c r="E338" s="19" t="s">
        <v>134</v>
      </c>
      <c r="F338" s="19" t="s">
        <v>132</v>
      </c>
      <c r="G338" s="19" t="s">
        <v>56</v>
      </c>
      <c r="H338" s="19">
        <v>4</v>
      </c>
      <c r="I338" s="21">
        <v>53.4</v>
      </c>
      <c r="J338" s="21">
        <v>15</v>
      </c>
      <c r="K338" s="21">
        <v>213.6</v>
      </c>
      <c r="L338" s="21">
        <v>153.6</v>
      </c>
    </row>
    <row r="339" spans="1:12" x14ac:dyDescent="0.35">
      <c r="A339" s="19" t="s">
        <v>469</v>
      </c>
      <c r="B339" s="20">
        <v>41930</v>
      </c>
      <c r="C339" s="19" t="s">
        <v>55</v>
      </c>
      <c r="D339" s="19" t="s">
        <v>63</v>
      </c>
      <c r="E339" s="19" t="s">
        <v>153</v>
      </c>
      <c r="F339" s="19" t="s">
        <v>118</v>
      </c>
      <c r="G339" s="19" t="s">
        <v>54</v>
      </c>
      <c r="H339" s="19">
        <v>3</v>
      </c>
      <c r="I339" s="21">
        <v>38.29</v>
      </c>
      <c r="J339" s="21">
        <v>12</v>
      </c>
      <c r="K339" s="21">
        <v>114.87</v>
      </c>
      <c r="L339" s="21">
        <v>78.87</v>
      </c>
    </row>
    <row r="340" spans="1:12" x14ac:dyDescent="0.35">
      <c r="A340" s="19" t="s">
        <v>470</v>
      </c>
      <c r="B340" s="20">
        <v>41930</v>
      </c>
      <c r="C340" s="19" t="s">
        <v>53</v>
      </c>
      <c r="D340" s="19" t="s">
        <v>67</v>
      </c>
      <c r="E340" s="19" t="s">
        <v>146</v>
      </c>
      <c r="F340" s="19" t="s">
        <v>123</v>
      </c>
      <c r="G340" s="19" t="s">
        <v>54</v>
      </c>
      <c r="H340" s="19">
        <v>1</v>
      </c>
      <c r="I340" s="21">
        <v>93.76</v>
      </c>
      <c r="J340" s="21">
        <v>28</v>
      </c>
      <c r="L340" s="21">
        <v>65.760000000000005</v>
      </c>
    </row>
    <row r="341" spans="1:12" x14ac:dyDescent="0.35">
      <c r="A341" s="19" t="s">
        <v>471</v>
      </c>
      <c r="B341" s="20">
        <v>41933</v>
      </c>
      <c r="C341" s="19" t="s">
        <v>53</v>
      </c>
      <c r="D341" s="19" t="s">
        <v>67</v>
      </c>
      <c r="E341" s="19" t="s">
        <v>146</v>
      </c>
      <c r="F341" s="19" t="s">
        <v>156</v>
      </c>
      <c r="G341" s="19" t="s">
        <v>54</v>
      </c>
      <c r="H341" s="19">
        <v>1</v>
      </c>
      <c r="I341" s="21">
        <v>63.62</v>
      </c>
      <c r="J341" s="21">
        <v>18</v>
      </c>
      <c r="K341" s="21">
        <v>63.62</v>
      </c>
    </row>
    <row r="342" spans="1:12" x14ac:dyDescent="0.35">
      <c r="A342" s="19" t="s">
        <v>472</v>
      </c>
      <c r="B342" s="20">
        <v>41933</v>
      </c>
      <c r="C342" s="19" t="s">
        <v>59</v>
      </c>
      <c r="D342" s="19" t="s">
        <v>61</v>
      </c>
      <c r="E342" s="19" t="s">
        <v>131</v>
      </c>
      <c r="F342" s="19" t="s">
        <v>125</v>
      </c>
      <c r="G342" s="19" t="s">
        <v>56</v>
      </c>
      <c r="H342" s="19">
        <v>2</v>
      </c>
      <c r="I342" s="21">
        <v>218.52</v>
      </c>
      <c r="J342" s="21">
        <v>70</v>
      </c>
      <c r="K342" s="21">
        <v>437.04</v>
      </c>
      <c r="L342" s="21">
        <v>297.04000000000002</v>
      </c>
    </row>
    <row r="343" spans="1:12" x14ac:dyDescent="0.35">
      <c r="A343" s="19" t="s">
        <v>473</v>
      </c>
      <c r="B343" s="20">
        <v>41933</v>
      </c>
      <c r="C343" s="19" t="s">
        <v>57</v>
      </c>
      <c r="D343" s="19" t="s">
        <v>62</v>
      </c>
      <c r="E343" s="19" t="s">
        <v>100</v>
      </c>
      <c r="F343" s="19" t="s">
        <v>140</v>
      </c>
      <c r="G343" s="19" t="s">
        <v>56</v>
      </c>
      <c r="H343" s="19">
        <v>1</v>
      </c>
      <c r="I343" s="21">
        <v>264.41000000000003</v>
      </c>
      <c r="J343" s="21">
        <v>95</v>
      </c>
      <c r="L343" s="21">
        <v>169.41</v>
      </c>
    </row>
    <row r="344" spans="1:12" x14ac:dyDescent="0.35">
      <c r="A344" s="19" t="s">
        <v>474</v>
      </c>
      <c r="B344" s="20">
        <v>41934</v>
      </c>
      <c r="C344" s="19" t="s">
        <v>59</v>
      </c>
      <c r="D344" s="19" t="s">
        <v>68</v>
      </c>
      <c r="E344" s="19" t="s">
        <v>139</v>
      </c>
      <c r="F344" s="19" t="s">
        <v>156</v>
      </c>
      <c r="G344" s="19" t="s">
        <v>54</v>
      </c>
      <c r="H344" s="19">
        <v>1</v>
      </c>
      <c r="I344" s="21">
        <v>67.41</v>
      </c>
      <c r="J344" s="21">
        <v>18</v>
      </c>
      <c r="K344" s="21">
        <v>67.41</v>
      </c>
      <c r="L344" s="21">
        <v>49.41</v>
      </c>
    </row>
    <row r="345" spans="1:12" x14ac:dyDescent="0.35">
      <c r="A345" s="19" t="s">
        <v>475</v>
      </c>
      <c r="B345" s="20">
        <v>41934</v>
      </c>
      <c r="C345" s="19" t="s">
        <v>57</v>
      </c>
      <c r="D345" s="19" t="s">
        <v>62</v>
      </c>
      <c r="E345" s="19" t="s">
        <v>91</v>
      </c>
      <c r="F345" s="19" t="s">
        <v>118</v>
      </c>
      <c r="G345" s="19" t="s">
        <v>54</v>
      </c>
      <c r="H345" s="19">
        <v>2</v>
      </c>
      <c r="I345" s="21">
        <v>39.86</v>
      </c>
      <c r="J345" s="21">
        <v>12</v>
      </c>
      <c r="K345" s="21">
        <v>79.72</v>
      </c>
      <c r="L345" s="21">
        <v>55.72</v>
      </c>
    </row>
    <row r="346" spans="1:12" x14ac:dyDescent="0.35">
      <c r="A346" s="19" t="s">
        <v>476</v>
      </c>
      <c r="B346" s="20">
        <v>41934</v>
      </c>
      <c r="C346" s="19" t="s">
        <v>59</v>
      </c>
      <c r="D346" s="19" t="s">
        <v>68</v>
      </c>
      <c r="E346" s="19" t="s">
        <v>131</v>
      </c>
      <c r="F346" s="19" t="s">
        <v>115</v>
      </c>
      <c r="G346" s="19" t="s">
        <v>56</v>
      </c>
      <c r="H346" s="19">
        <v>1</v>
      </c>
      <c r="I346" s="21">
        <v>611.76</v>
      </c>
      <c r="J346" s="21">
        <v>220</v>
      </c>
      <c r="L346" s="21">
        <v>391.76</v>
      </c>
    </row>
    <row r="347" spans="1:12" x14ac:dyDescent="0.35">
      <c r="A347" s="19" t="s">
        <v>477</v>
      </c>
      <c r="B347" s="20">
        <v>41936</v>
      </c>
      <c r="C347" s="19" t="s">
        <v>59</v>
      </c>
      <c r="D347" s="19" t="s">
        <v>68</v>
      </c>
      <c r="E347" s="19" t="s">
        <v>117</v>
      </c>
      <c r="F347" s="19" t="s">
        <v>137</v>
      </c>
      <c r="G347" s="19" t="s">
        <v>54</v>
      </c>
      <c r="H347" s="19">
        <v>1</v>
      </c>
      <c r="I347" s="21">
        <v>447.25</v>
      </c>
      <c r="J347" s="21">
        <v>180</v>
      </c>
      <c r="K347" s="21">
        <v>447.25</v>
      </c>
    </row>
    <row r="348" spans="1:12" x14ac:dyDescent="0.35">
      <c r="A348" s="19" t="s">
        <v>478</v>
      </c>
      <c r="B348" s="20">
        <v>41937</v>
      </c>
      <c r="C348" s="19" t="s">
        <v>55</v>
      </c>
      <c r="D348" s="19" t="s">
        <v>63</v>
      </c>
      <c r="E348" s="19" t="s">
        <v>146</v>
      </c>
      <c r="F348" s="19" t="s">
        <v>115</v>
      </c>
      <c r="G348" s="19" t="s">
        <v>56</v>
      </c>
      <c r="H348" s="19">
        <v>3</v>
      </c>
      <c r="I348" s="21">
        <v>590.05999999999995</v>
      </c>
      <c r="J348" s="21">
        <v>220</v>
      </c>
      <c r="K348" s="21">
        <v>1770.18</v>
      </c>
      <c r="L348" s="21">
        <v>1110.18</v>
      </c>
    </row>
    <row r="349" spans="1:12" x14ac:dyDescent="0.35">
      <c r="A349" s="19" t="s">
        <v>479</v>
      </c>
      <c r="B349" s="20">
        <v>41938</v>
      </c>
      <c r="C349" s="19" t="s">
        <v>59</v>
      </c>
      <c r="D349" s="19" t="s">
        <v>61</v>
      </c>
      <c r="E349" s="19" t="s">
        <v>91</v>
      </c>
      <c r="F349" s="19" t="s">
        <v>142</v>
      </c>
      <c r="G349" s="19" t="s">
        <v>58</v>
      </c>
      <c r="H349" s="19">
        <v>2</v>
      </c>
      <c r="I349" s="21">
        <v>17.16</v>
      </c>
      <c r="J349" s="21">
        <v>4</v>
      </c>
      <c r="K349" s="21">
        <v>34.32</v>
      </c>
      <c r="L349" s="21">
        <v>26.32</v>
      </c>
    </row>
    <row r="350" spans="1:12" x14ac:dyDescent="0.35">
      <c r="A350" s="19" t="s">
        <v>480</v>
      </c>
      <c r="B350" s="20">
        <v>41939</v>
      </c>
      <c r="C350" s="19" t="s">
        <v>57</v>
      </c>
      <c r="D350" s="19" t="s">
        <v>62</v>
      </c>
      <c r="E350" s="19" t="s">
        <v>150</v>
      </c>
      <c r="F350" s="19" t="s">
        <v>128</v>
      </c>
      <c r="G350" s="19" t="s">
        <v>54</v>
      </c>
      <c r="H350" s="19">
        <v>2</v>
      </c>
      <c r="I350" s="21">
        <v>119.03</v>
      </c>
      <c r="J350" s="21">
        <v>40</v>
      </c>
      <c r="K350" s="21">
        <v>238.06</v>
      </c>
      <c r="L350" s="21">
        <v>158.06</v>
      </c>
    </row>
    <row r="351" spans="1:12" x14ac:dyDescent="0.35">
      <c r="A351" s="19" t="s">
        <v>481</v>
      </c>
      <c r="B351" s="20">
        <v>41940</v>
      </c>
      <c r="C351" s="19" t="s">
        <v>55</v>
      </c>
      <c r="D351" s="19" t="s">
        <v>65</v>
      </c>
      <c r="E351" s="19" t="s">
        <v>131</v>
      </c>
      <c r="F351" s="19" t="s">
        <v>137</v>
      </c>
      <c r="G351" s="19" t="s">
        <v>54</v>
      </c>
      <c r="H351" s="19">
        <v>1</v>
      </c>
      <c r="I351" s="21">
        <v>462.32</v>
      </c>
      <c r="J351" s="21">
        <v>180</v>
      </c>
      <c r="K351" s="21">
        <v>462.32</v>
      </c>
      <c r="L351" s="21">
        <v>282.32</v>
      </c>
    </row>
    <row r="352" spans="1:12" x14ac:dyDescent="0.35">
      <c r="A352" s="19" t="s">
        <v>482</v>
      </c>
      <c r="B352" s="20">
        <v>41941</v>
      </c>
      <c r="C352" s="19" t="s">
        <v>53</v>
      </c>
      <c r="D352" s="19" t="s">
        <v>64</v>
      </c>
      <c r="E352" s="19" t="s">
        <v>89</v>
      </c>
      <c r="F352" s="19" t="s">
        <v>115</v>
      </c>
      <c r="G352" s="19" t="s">
        <v>56</v>
      </c>
      <c r="H352" s="19">
        <v>3</v>
      </c>
      <c r="I352" s="21">
        <v>596.47</v>
      </c>
      <c r="J352" s="21">
        <v>220</v>
      </c>
      <c r="K352" s="21">
        <v>1789.41</v>
      </c>
      <c r="L352" s="21">
        <v>1129.4100000000001</v>
      </c>
    </row>
    <row r="353" spans="1:12" x14ac:dyDescent="0.35">
      <c r="A353" s="19" t="s">
        <v>483</v>
      </c>
      <c r="B353" s="20">
        <v>41941</v>
      </c>
      <c r="C353" s="19" t="s">
        <v>55</v>
      </c>
      <c r="D353" s="19" t="s">
        <v>65</v>
      </c>
      <c r="E353" s="19" t="s">
        <v>89</v>
      </c>
      <c r="F353" s="19" t="s">
        <v>118</v>
      </c>
      <c r="G353" s="19" t="s">
        <v>54</v>
      </c>
      <c r="H353" s="19">
        <v>3</v>
      </c>
      <c r="I353" s="21">
        <v>37.42</v>
      </c>
      <c r="J353" s="21">
        <v>12</v>
      </c>
      <c r="K353" s="21">
        <v>112.26</v>
      </c>
    </row>
    <row r="354" spans="1:12" x14ac:dyDescent="0.35">
      <c r="A354" s="19" t="s">
        <v>484</v>
      </c>
      <c r="B354" s="20">
        <v>41941</v>
      </c>
      <c r="C354" s="19" t="s">
        <v>57</v>
      </c>
      <c r="D354" s="19" t="s">
        <v>66</v>
      </c>
      <c r="E354" s="19" t="s">
        <v>89</v>
      </c>
      <c r="F354" s="19" t="s">
        <v>115</v>
      </c>
      <c r="G354" s="19" t="s">
        <v>56</v>
      </c>
      <c r="H354" s="19">
        <v>3</v>
      </c>
      <c r="I354" s="21">
        <v>607.73</v>
      </c>
      <c r="J354" s="21">
        <v>220</v>
      </c>
      <c r="K354" s="21">
        <v>1823.19</v>
      </c>
      <c r="L354" s="21">
        <v>1163.19</v>
      </c>
    </row>
    <row r="355" spans="1:12" x14ac:dyDescent="0.35">
      <c r="A355" s="19" t="s">
        <v>485</v>
      </c>
      <c r="B355" s="20">
        <v>41941</v>
      </c>
      <c r="C355" s="19" t="s">
        <v>59</v>
      </c>
      <c r="D355" s="19" t="s">
        <v>68</v>
      </c>
      <c r="E355" s="19" t="s">
        <v>87</v>
      </c>
      <c r="F355" s="19" t="s">
        <v>142</v>
      </c>
      <c r="G355" s="19" t="s">
        <v>58</v>
      </c>
      <c r="H355" s="19">
        <v>3</v>
      </c>
      <c r="I355" s="21">
        <v>16.41</v>
      </c>
      <c r="J355" s="21">
        <v>4</v>
      </c>
      <c r="K355" s="21">
        <v>49.23</v>
      </c>
      <c r="L355" s="21">
        <v>37.229999999999997</v>
      </c>
    </row>
    <row r="356" spans="1:12" x14ac:dyDescent="0.35">
      <c r="A356" s="19" t="s">
        <v>486</v>
      </c>
      <c r="B356" s="20">
        <v>41943</v>
      </c>
      <c r="C356" s="19" t="s">
        <v>55</v>
      </c>
      <c r="D356" s="19" t="s">
        <v>65</v>
      </c>
      <c r="E356" s="19" t="s">
        <v>134</v>
      </c>
      <c r="F356" s="19" t="s">
        <v>140</v>
      </c>
      <c r="G356" s="19" t="s">
        <v>56</v>
      </c>
      <c r="H356" s="19">
        <v>1</v>
      </c>
      <c r="I356" s="21">
        <v>251.16</v>
      </c>
      <c r="J356" s="21">
        <v>95</v>
      </c>
      <c r="L356" s="21">
        <v>156.16</v>
      </c>
    </row>
    <row r="357" spans="1:12" x14ac:dyDescent="0.35">
      <c r="A357" s="19" t="s">
        <v>487</v>
      </c>
      <c r="B357" s="20">
        <v>41945</v>
      </c>
      <c r="C357" s="19" t="s">
        <v>55</v>
      </c>
      <c r="D357" s="19" t="s">
        <v>65</v>
      </c>
      <c r="E357" s="19" t="s">
        <v>87</v>
      </c>
      <c r="F357" s="19" t="s">
        <v>128</v>
      </c>
      <c r="G357" s="19" t="s">
        <v>54</v>
      </c>
      <c r="H357" s="19">
        <v>4</v>
      </c>
      <c r="I357" s="21">
        <v>74.12</v>
      </c>
      <c r="J357" s="21">
        <v>40</v>
      </c>
      <c r="K357" s="21">
        <v>296.48</v>
      </c>
      <c r="L357" s="21">
        <v>136.47999999999999</v>
      </c>
    </row>
    <row r="358" spans="1:12" x14ac:dyDescent="0.35">
      <c r="A358" s="19" t="s">
        <v>488</v>
      </c>
      <c r="B358" s="20">
        <v>41945</v>
      </c>
      <c r="C358" s="19" t="s">
        <v>57</v>
      </c>
      <c r="D358" s="19" t="s">
        <v>62</v>
      </c>
      <c r="E358" s="19" t="s">
        <v>100</v>
      </c>
      <c r="F358" s="19" t="s">
        <v>137</v>
      </c>
      <c r="G358" s="19" t="s">
        <v>54</v>
      </c>
      <c r="H358" s="19">
        <v>1</v>
      </c>
      <c r="I358" s="21">
        <v>281.44</v>
      </c>
      <c r="J358" s="21">
        <v>180</v>
      </c>
      <c r="K358" s="21">
        <v>281.44</v>
      </c>
      <c r="L358" s="21">
        <v>101.44</v>
      </c>
    </row>
    <row r="359" spans="1:12" x14ac:dyDescent="0.35">
      <c r="A359" s="19" t="s">
        <v>489</v>
      </c>
      <c r="B359" s="20">
        <v>41947</v>
      </c>
      <c r="C359" s="19" t="s">
        <v>59</v>
      </c>
      <c r="D359" s="19" t="s">
        <v>68</v>
      </c>
      <c r="E359" s="19" t="s">
        <v>91</v>
      </c>
      <c r="F359" s="19" t="s">
        <v>115</v>
      </c>
      <c r="G359" s="19" t="s">
        <v>56</v>
      </c>
      <c r="H359" s="19">
        <v>3</v>
      </c>
      <c r="I359" s="21">
        <v>387.58</v>
      </c>
      <c r="J359" s="21">
        <v>220</v>
      </c>
      <c r="K359" s="21">
        <v>1162.74</v>
      </c>
      <c r="L359" s="21">
        <v>502.74</v>
      </c>
    </row>
    <row r="360" spans="1:12" x14ac:dyDescent="0.35">
      <c r="A360" s="19" t="s">
        <v>490</v>
      </c>
      <c r="B360" s="20">
        <v>41949</v>
      </c>
      <c r="C360" s="19" t="s">
        <v>53</v>
      </c>
      <c r="D360" s="19" t="s">
        <v>68</v>
      </c>
      <c r="E360" s="19" t="s">
        <v>131</v>
      </c>
      <c r="F360" s="19" t="s">
        <v>125</v>
      </c>
      <c r="G360" s="19" t="s">
        <v>56</v>
      </c>
      <c r="H360" s="19">
        <v>3</v>
      </c>
      <c r="I360" s="21">
        <v>131.30000000000001</v>
      </c>
      <c r="J360" s="21">
        <v>70</v>
      </c>
      <c r="K360" s="21">
        <v>393.9</v>
      </c>
      <c r="L360" s="21">
        <v>183.9</v>
      </c>
    </row>
    <row r="361" spans="1:12" x14ac:dyDescent="0.35">
      <c r="A361" s="19" t="s">
        <v>491</v>
      </c>
      <c r="B361" s="20">
        <v>41949</v>
      </c>
      <c r="C361" s="19" t="s">
        <v>57</v>
      </c>
      <c r="D361" s="19" t="s">
        <v>62</v>
      </c>
      <c r="E361" s="19" t="s">
        <v>117</v>
      </c>
      <c r="F361" s="19" t="s">
        <v>132</v>
      </c>
      <c r="G361" s="19" t="s">
        <v>56</v>
      </c>
      <c r="H361" s="19">
        <v>3</v>
      </c>
      <c r="I361" s="21">
        <v>34.01</v>
      </c>
      <c r="J361" s="21">
        <v>15</v>
      </c>
      <c r="K361" s="21">
        <v>102.03</v>
      </c>
      <c r="L361" s="21">
        <v>57.03</v>
      </c>
    </row>
    <row r="362" spans="1:12" x14ac:dyDescent="0.35">
      <c r="A362" s="19" t="s">
        <v>492</v>
      </c>
      <c r="B362" s="20">
        <v>41950</v>
      </c>
      <c r="C362" s="19" t="s">
        <v>57</v>
      </c>
      <c r="D362" s="19" t="s">
        <v>66</v>
      </c>
      <c r="E362" s="19" t="s">
        <v>100</v>
      </c>
      <c r="F362" s="19" t="s">
        <v>128</v>
      </c>
      <c r="G362" s="19" t="s">
        <v>54</v>
      </c>
      <c r="H362" s="19">
        <v>3</v>
      </c>
      <c r="I362" s="21">
        <v>77.930000000000007</v>
      </c>
      <c r="J362" s="21">
        <v>40</v>
      </c>
      <c r="K362" s="21">
        <v>233.79</v>
      </c>
      <c r="L362" s="21">
        <v>113.79</v>
      </c>
    </row>
    <row r="363" spans="1:12" x14ac:dyDescent="0.35">
      <c r="A363" s="19" t="s">
        <v>493</v>
      </c>
      <c r="B363" s="20">
        <v>41951</v>
      </c>
      <c r="C363" s="19" t="s">
        <v>55</v>
      </c>
      <c r="D363" s="19" t="s">
        <v>65</v>
      </c>
      <c r="E363" s="19" t="s">
        <v>146</v>
      </c>
      <c r="F363" s="19" t="s">
        <v>142</v>
      </c>
      <c r="G363" s="19" t="s">
        <v>58</v>
      </c>
      <c r="H363" s="19">
        <v>2</v>
      </c>
      <c r="I363" s="21">
        <v>10.24</v>
      </c>
      <c r="J363" s="21">
        <v>4</v>
      </c>
      <c r="K363" s="21">
        <v>20.48</v>
      </c>
      <c r="L363" s="21">
        <v>12.48</v>
      </c>
    </row>
    <row r="364" spans="1:12" x14ac:dyDescent="0.35">
      <c r="A364" s="19" t="s">
        <v>494</v>
      </c>
      <c r="B364" s="20">
        <v>41953</v>
      </c>
      <c r="C364" s="19" t="s">
        <v>53</v>
      </c>
      <c r="D364" s="19" t="s">
        <v>67</v>
      </c>
      <c r="E364" s="19" t="s">
        <v>100</v>
      </c>
      <c r="F364" s="19" t="s">
        <v>142</v>
      </c>
      <c r="G364" s="19" t="s">
        <v>58</v>
      </c>
      <c r="H364" s="19">
        <v>4</v>
      </c>
      <c r="I364" s="21">
        <v>10.199999999999999</v>
      </c>
      <c r="J364" s="21">
        <v>4</v>
      </c>
      <c r="K364" s="21">
        <v>40.799999999999997</v>
      </c>
      <c r="L364" s="21">
        <v>24.8</v>
      </c>
    </row>
    <row r="365" spans="1:12" x14ac:dyDescent="0.35">
      <c r="A365" s="19" t="s">
        <v>495</v>
      </c>
      <c r="B365" s="20">
        <v>41955</v>
      </c>
      <c r="C365" s="19" t="s">
        <v>59</v>
      </c>
      <c r="D365" s="19" t="s">
        <v>68</v>
      </c>
      <c r="E365" s="19" t="s">
        <v>131</v>
      </c>
      <c r="F365" s="19" t="s">
        <v>115</v>
      </c>
      <c r="G365" s="19" t="s">
        <v>56</v>
      </c>
      <c r="H365" s="19">
        <v>3</v>
      </c>
      <c r="I365" s="21">
        <v>398.2</v>
      </c>
      <c r="J365" s="21">
        <v>220</v>
      </c>
      <c r="K365" s="21">
        <v>1194.5999999999999</v>
      </c>
      <c r="L365" s="21">
        <v>534.6</v>
      </c>
    </row>
    <row r="366" spans="1:12" x14ac:dyDescent="0.35">
      <c r="A366" s="19" t="s">
        <v>496</v>
      </c>
      <c r="B366" s="20">
        <v>41956</v>
      </c>
      <c r="C366" s="19" t="s">
        <v>57</v>
      </c>
      <c r="D366" s="19" t="s">
        <v>62</v>
      </c>
      <c r="E366" s="19" t="s">
        <v>114</v>
      </c>
      <c r="F366" s="19" t="s">
        <v>118</v>
      </c>
      <c r="G366" s="19" t="s">
        <v>54</v>
      </c>
      <c r="H366" s="19">
        <v>2</v>
      </c>
      <c r="I366" s="21">
        <v>24.92</v>
      </c>
      <c r="J366" s="21">
        <v>12</v>
      </c>
      <c r="K366" s="21">
        <v>49.84</v>
      </c>
      <c r="L366" s="21">
        <v>25.84</v>
      </c>
    </row>
    <row r="367" spans="1:12" x14ac:dyDescent="0.35">
      <c r="A367" s="19" t="s">
        <v>497</v>
      </c>
      <c r="B367" s="20">
        <v>41956</v>
      </c>
      <c r="C367" s="19" t="s">
        <v>53</v>
      </c>
      <c r="D367" s="19" t="s">
        <v>64</v>
      </c>
      <c r="E367" s="19" t="s">
        <v>100</v>
      </c>
      <c r="F367" s="19" t="s">
        <v>156</v>
      </c>
      <c r="G367" s="19" t="s">
        <v>54</v>
      </c>
      <c r="H367" s="19">
        <v>3</v>
      </c>
      <c r="I367" s="21">
        <v>41.47</v>
      </c>
      <c r="J367" s="21">
        <v>18</v>
      </c>
      <c r="K367" s="21">
        <v>124.41</v>
      </c>
      <c r="L367" s="21">
        <v>70.41</v>
      </c>
    </row>
    <row r="368" spans="1:12" x14ac:dyDescent="0.35">
      <c r="A368" s="19" t="s">
        <v>498</v>
      </c>
      <c r="B368" s="20">
        <v>41956</v>
      </c>
      <c r="C368" s="19" t="s">
        <v>57</v>
      </c>
      <c r="D368" s="19" t="s">
        <v>62</v>
      </c>
      <c r="E368" s="19" t="s">
        <v>98</v>
      </c>
      <c r="F368" s="19" t="s">
        <v>140</v>
      </c>
      <c r="G368" s="19" t="s">
        <v>56</v>
      </c>
      <c r="H368" s="19">
        <v>3</v>
      </c>
      <c r="I368" s="21">
        <v>153.78</v>
      </c>
      <c r="J368" s="21">
        <v>95</v>
      </c>
      <c r="K368" s="21">
        <v>461.34</v>
      </c>
      <c r="L368" s="21">
        <v>176.34</v>
      </c>
    </row>
    <row r="369" spans="1:12" x14ac:dyDescent="0.35">
      <c r="A369" s="19" t="s">
        <v>499</v>
      </c>
      <c r="B369" s="20">
        <v>41958</v>
      </c>
      <c r="C369" s="19" t="s">
        <v>53</v>
      </c>
      <c r="D369" s="19" t="s">
        <v>67</v>
      </c>
      <c r="E369" s="19" t="s">
        <v>98</v>
      </c>
      <c r="F369" s="19" t="s">
        <v>123</v>
      </c>
      <c r="G369" s="19" t="s">
        <v>54</v>
      </c>
      <c r="H369" s="19">
        <v>3</v>
      </c>
      <c r="I369" s="21">
        <v>56.21</v>
      </c>
      <c r="J369" s="21">
        <v>28</v>
      </c>
      <c r="K369" s="21">
        <v>168.63</v>
      </c>
      <c r="L369" s="21">
        <v>84.63</v>
      </c>
    </row>
    <row r="370" spans="1:12" x14ac:dyDescent="0.35">
      <c r="A370" s="19" t="s">
        <v>500</v>
      </c>
      <c r="B370" s="20">
        <v>41959</v>
      </c>
      <c r="C370" s="19" t="s">
        <v>560</v>
      </c>
      <c r="D370" s="19" t="s">
        <v>66</v>
      </c>
      <c r="E370" s="19" t="s">
        <v>98</v>
      </c>
      <c r="F370" s="19" t="s">
        <v>140</v>
      </c>
      <c r="G370" s="19" t="s">
        <v>56</v>
      </c>
      <c r="H370" s="19">
        <v>3</v>
      </c>
      <c r="I370" s="21">
        <v>153.07</v>
      </c>
      <c r="J370" s="21">
        <v>95</v>
      </c>
      <c r="K370" s="21">
        <v>459.21</v>
      </c>
      <c r="L370" s="21">
        <v>174.21</v>
      </c>
    </row>
    <row r="371" spans="1:12" x14ac:dyDescent="0.35">
      <c r="A371" s="19" t="s">
        <v>501</v>
      </c>
      <c r="B371" s="20">
        <v>41960</v>
      </c>
      <c r="C371" s="19" t="s">
        <v>55</v>
      </c>
      <c r="D371" s="19" t="s">
        <v>63</v>
      </c>
      <c r="E371" s="19" t="s">
        <v>134</v>
      </c>
      <c r="F371" s="19" t="s">
        <v>128</v>
      </c>
      <c r="G371" s="19" t="s">
        <v>54</v>
      </c>
      <c r="H371" s="19">
        <v>1</v>
      </c>
      <c r="I371" s="21">
        <v>79.12</v>
      </c>
      <c r="J371" s="21">
        <v>40</v>
      </c>
      <c r="K371" s="21">
        <v>79.12</v>
      </c>
      <c r="L371" s="21">
        <v>39.119999999999997</v>
      </c>
    </row>
    <row r="372" spans="1:12" x14ac:dyDescent="0.35">
      <c r="A372" s="19" t="s">
        <v>502</v>
      </c>
      <c r="B372" s="20">
        <v>41962</v>
      </c>
      <c r="C372" s="19" t="s">
        <v>53</v>
      </c>
      <c r="D372" s="19" t="s">
        <v>67</v>
      </c>
      <c r="E372" s="19" t="s">
        <v>114</v>
      </c>
      <c r="F372" s="19" t="s">
        <v>123</v>
      </c>
      <c r="G372" s="19" t="s">
        <v>54</v>
      </c>
      <c r="H372" s="19">
        <v>4</v>
      </c>
      <c r="I372" s="21">
        <v>56.22</v>
      </c>
      <c r="J372" s="21">
        <v>28</v>
      </c>
      <c r="K372" s="21">
        <v>224.88</v>
      </c>
      <c r="L372" s="21">
        <v>112.88</v>
      </c>
    </row>
    <row r="373" spans="1:12" x14ac:dyDescent="0.35">
      <c r="A373" s="19" t="s">
        <v>503</v>
      </c>
      <c r="B373" s="20">
        <v>41963</v>
      </c>
      <c r="C373" s="19" t="s">
        <v>59</v>
      </c>
      <c r="D373" s="19" t="s">
        <v>61</v>
      </c>
      <c r="E373" s="19" t="s">
        <v>164</v>
      </c>
      <c r="F373" s="19" t="s">
        <v>128</v>
      </c>
      <c r="G373" s="19" t="s">
        <v>54</v>
      </c>
      <c r="H373" s="19">
        <v>1</v>
      </c>
      <c r="I373" s="21">
        <v>73.39</v>
      </c>
      <c r="J373" s="21">
        <v>40</v>
      </c>
      <c r="K373" s="21">
        <v>73.39</v>
      </c>
      <c r="L373" s="21">
        <v>33.39</v>
      </c>
    </row>
    <row r="374" spans="1:12" x14ac:dyDescent="0.35">
      <c r="A374" s="19" t="s">
        <v>504</v>
      </c>
      <c r="B374" s="20">
        <v>41965</v>
      </c>
      <c r="C374" s="19" t="s">
        <v>563</v>
      </c>
      <c r="D374" s="19" t="s">
        <v>63</v>
      </c>
      <c r="E374" s="19" t="s">
        <v>144</v>
      </c>
      <c r="F374" s="19" t="s">
        <v>132</v>
      </c>
      <c r="G374" s="19" t="s">
        <v>56</v>
      </c>
      <c r="H374" s="19">
        <v>1</v>
      </c>
      <c r="I374" s="21">
        <v>31.64</v>
      </c>
      <c r="J374" s="21">
        <v>15</v>
      </c>
      <c r="K374" s="21">
        <v>31.64</v>
      </c>
      <c r="L374" s="21">
        <v>16.64</v>
      </c>
    </row>
    <row r="375" spans="1:12" x14ac:dyDescent="0.35">
      <c r="A375" s="19" t="s">
        <v>505</v>
      </c>
      <c r="B375" s="20">
        <v>41965</v>
      </c>
      <c r="C375" s="19" t="s">
        <v>57</v>
      </c>
      <c r="D375" s="19" t="s">
        <v>66</v>
      </c>
      <c r="E375" s="19" t="s">
        <v>114</v>
      </c>
      <c r="F375" s="19" t="s">
        <v>125</v>
      </c>
      <c r="G375" s="19" t="s">
        <v>56</v>
      </c>
      <c r="H375" s="19">
        <v>1</v>
      </c>
      <c r="I375" s="21">
        <v>141.47999999999999</v>
      </c>
      <c r="J375" s="21">
        <v>70</v>
      </c>
      <c r="K375" s="21">
        <v>141.47999999999999</v>
      </c>
      <c r="L375" s="21">
        <v>71.48</v>
      </c>
    </row>
    <row r="376" spans="1:12" x14ac:dyDescent="0.35">
      <c r="A376" s="19" t="s">
        <v>506</v>
      </c>
      <c r="B376" s="20">
        <v>41965</v>
      </c>
      <c r="C376" s="19" t="s">
        <v>57</v>
      </c>
      <c r="D376" s="19" t="s">
        <v>62</v>
      </c>
      <c r="E376" s="19" t="s">
        <v>117</v>
      </c>
      <c r="F376" s="19" t="s">
        <v>137</v>
      </c>
      <c r="G376" s="19" t="s">
        <v>54</v>
      </c>
      <c r="H376" s="19">
        <v>2</v>
      </c>
      <c r="I376" s="21">
        <v>278.14</v>
      </c>
      <c r="J376" s="21">
        <v>180</v>
      </c>
      <c r="K376" s="21">
        <v>556.28</v>
      </c>
      <c r="L376" s="21">
        <v>196.28</v>
      </c>
    </row>
    <row r="377" spans="1:12" x14ac:dyDescent="0.35">
      <c r="A377" s="19" t="s">
        <v>507</v>
      </c>
      <c r="B377" s="20">
        <v>41966</v>
      </c>
      <c r="C377" s="19" t="s">
        <v>53</v>
      </c>
      <c r="D377" s="19" t="s">
        <v>64</v>
      </c>
      <c r="E377" s="19" t="s">
        <v>100</v>
      </c>
      <c r="F377" s="19" t="s">
        <v>128</v>
      </c>
      <c r="G377" s="19" t="s">
        <v>54</v>
      </c>
      <c r="H377" s="19">
        <v>2</v>
      </c>
      <c r="I377" s="21">
        <v>73.94</v>
      </c>
      <c r="J377" s="21">
        <v>40</v>
      </c>
    </row>
    <row r="378" spans="1:12" x14ac:dyDescent="0.35">
      <c r="A378" s="19" t="s">
        <v>508</v>
      </c>
      <c r="B378" s="20">
        <v>41966</v>
      </c>
      <c r="C378" s="19" t="s">
        <v>55</v>
      </c>
      <c r="D378" s="19" t="s">
        <v>66</v>
      </c>
      <c r="E378" s="19" t="s">
        <v>134</v>
      </c>
      <c r="F378" s="19" t="s">
        <v>140</v>
      </c>
      <c r="G378" s="19" t="s">
        <v>56</v>
      </c>
      <c r="H378" s="19">
        <v>2</v>
      </c>
      <c r="I378" s="21">
        <v>167.77</v>
      </c>
      <c r="J378" s="21">
        <v>95</v>
      </c>
      <c r="K378" s="21">
        <v>335.54</v>
      </c>
    </row>
    <row r="379" spans="1:12" x14ac:dyDescent="0.35">
      <c r="A379" s="19" t="s">
        <v>509</v>
      </c>
      <c r="B379" s="20">
        <v>41966</v>
      </c>
      <c r="C379" s="19" t="s">
        <v>55</v>
      </c>
      <c r="D379" s="19" t="s">
        <v>62</v>
      </c>
      <c r="E379" s="19" t="s">
        <v>91</v>
      </c>
      <c r="F379" s="19" t="s">
        <v>137</v>
      </c>
      <c r="G379" s="19" t="s">
        <v>54</v>
      </c>
      <c r="H379" s="19">
        <v>1</v>
      </c>
      <c r="I379" s="21">
        <v>282.8</v>
      </c>
      <c r="J379" s="21">
        <v>180</v>
      </c>
      <c r="K379" s="21">
        <v>282.8</v>
      </c>
      <c r="L379" s="21">
        <v>102.8</v>
      </c>
    </row>
    <row r="380" spans="1:12" x14ac:dyDescent="0.35">
      <c r="A380" s="19" t="s">
        <v>510</v>
      </c>
      <c r="B380" s="20">
        <v>41967</v>
      </c>
      <c r="C380" s="19" t="s">
        <v>57</v>
      </c>
      <c r="D380" s="19" t="s">
        <v>62</v>
      </c>
      <c r="E380" s="19" t="s">
        <v>117</v>
      </c>
      <c r="F380" s="19" t="s">
        <v>156</v>
      </c>
      <c r="G380" s="19" t="s">
        <v>54</v>
      </c>
      <c r="H380" s="19">
        <v>1</v>
      </c>
      <c r="I380" s="21">
        <v>39.99</v>
      </c>
      <c r="J380" s="21">
        <v>18</v>
      </c>
      <c r="L380" s="21">
        <v>21.99</v>
      </c>
    </row>
    <row r="381" spans="1:12" x14ac:dyDescent="0.35">
      <c r="A381" s="19" t="s">
        <v>511</v>
      </c>
      <c r="B381" s="20">
        <v>41967</v>
      </c>
      <c r="C381" s="19" t="s">
        <v>59</v>
      </c>
      <c r="D381" s="19" t="s">
        <v>61</v>
      </c>
      <c r="E381" s="19" t="s">
        <v>150</v>
      </c>
      <c r="F381" s="19" t="s">
        <v>132</v>
      </c>
      <c r="G381" s="19" t="s">
        <v>56</v>
      </c>
      <c r="H381" s="19">
        <v>2</v>
      </c>
      <c r="I381" s="21">
        <v>34.369999999999997</v>
      </c>
      <c r="J381" s="21">
        <v>15</v>
      </c>
      <c r="K381" s="21">
        <v>68.739999999999995</v>
      </c>
      <c r="L381" s="21">
        <v>38.74</v>
      </c>
    </row>
    <row r="382" spans="1:12" x14ac:dyDescent="0.35">
      <c r="A382" s="19" t="s">
        <v>512</v>
      </c>
      <c r="B382" s="20">
        <v>41969</v>
      </c>
      <c r="C382" s="19" t="s">
        <v>53</v>
      </c>
      <c r="D382" s="19" t="s">
        <v>67</v>
      </c>
      <c r="E382" s="19" t="s">
        <v>91</v>
      </c>
      <c r="F382" s="19" t="s">
        <v>142</v>
      </c>
      <c r="G382" s="19" t="s">
        <v>58</v>
      </c>
      <c r="H382" s="19">
        <v>1</v>
      </c>
      <c r="I382" s="21">
        <v>10.38</v>
      </c>
      <c r="J382" s="21">
        <v>4</v>
      </c>
      <c r="K382" s="21">
        <v>10.38</v>
      </c>
      <c r="L382" s="21">
        <v>6.38</v>
      </c>
    </row>
    <row r="383" spans="1:12" x14ac:dyDescent="0.35">
      <c r="A383" s="19" t="s">
        <v>513</v>
      </c>
      <c r="B383" s="20">
        <v>41970</v>
      </c>
      <c r="C383" s="19" t="s">
        <v>57</v>
      </c>
      <c r="D383" s="19" t="s">
        <v>62</v>
      </c>
      <c r="E383" s="19" t="s">
        <v>114</v>
      </c>
      <c r="F383" s="19" t="s">
        <v>118</v>
      </c>
      <c r="G383" s="19" t="s">
        <v>54</v>
      </c>
      <c r="H383" s="19">
        <v>1</v>
      </c>
      <c r="I383" s="21">
        <v>23.89</v>
      </c>
      <c r="J383" s="21">
        <v>12</v>
      </c>
      <c r="K383" s="21">
        <v>23.89</v>
      </c>
      <c r="L383" s="21">
        <v>11.89</v>
      </c>
    </row>
    <row r="384" spans="1:12" x14ac:dyDescent="0.35">
      <c r="A384" s="19" t="s">
        <v>514</v>
      </c>
      <c r="B384" s="20">
        <v>41970</v>
      </c>
      <c r="C384" s="19" t="s">
        <v>57</v>
      </c>
      <c r="D384" s="19" t="s">
        <v>66</v>
      </c>
      <c r="E384" s="19" t="s">
        <v>131</v>
      </c>
      <c r="F384" s="19" t="s">
        <v>118</v>
      </c>
      <c r="G384" s="19" t="s">
        <v>54</v>
      </c>
      <c r="H384" s="19">
        <v>4</v>
      </c>
      <c r="I384" s="21">
        <v>25.68</v>
      </c>
      <c r="J384" s="21">
        <v>12</v>
      </c>
      <c r="K384" s="21">
        <v>102.72</v>
      </c>
      <c r="L384" s="21">
        <v>54.72</v>
      </c>
    </row>
    <row r="385" spans="1:12" x14ac:dyDescent="0.35">
      <c r="A385" s="19" t="s">
        <v>515</v>
      </c>
      <c r="B385" s="20">
        <v>41972</v>
      </c>
      <c r="C385" s="19" t="s">
        <v>57</v>
      </c>
      <c r="D385" s="19" t="s">
        <v>66</v>
      </c>
      <c r="E385" s="19" t="s">
        <v>146</v>
      </c>
      <c r="F385" s="19" t="s">
        <v>125</v>
      </c>
      <c r="G385" s="19" t="s">
        <v>56</v>
      </c>
      <c r="H385" s="19">
        <v>4</v>
      </c>
      <c r="I385" s="21">
        <v>134.69</v>
      </c>
      <c r="J385" s="21">
        <v>70</v>
      </c>
      <c r="K385" s="21">
        <v>538.76</v>
      </c>
      <c r="L385" s="21">
        <v>258.76</v>
      </c>
    </row>
    <row r="386" spans="1:12" x14ac:dyDescent="0.35">
      <c r="A386" s="19" t="s">
        <v>516</v>
      </c>
      <c r="B386" s="20">
        <v>41972</v>
      </c>
      <c r="C386" s="19" t="s">
        <v>53</v>
      </c>
      <c r="D386" s="19" t="s">
        <v>64</v>
      </c>
      <c r="E386" s="19" t="s">
        <v>153</v>
      </c>
      <c r="F386" s="19" t="s">
        <v>142</v>
      </c>
      <c r="G386" s="19" t="s">
        <v>58</v>
      </c>
      <c r="H386" s="19">
        <v>1</v>
      </c>
      <c r="I386" s="21">
        <v>10.48</v>
      </c>
      <c r="J386" s="21">
        <v>4</v>
      </c>
      <c r="K386" s="21">
        <v>10.48</v>
      </c>
      <c r="L386" s="21">
        <v>6.48</v>
      </c>
    </row>
    <row r="387" spans="1:12" x14ac:dyDescent="0.35">
      <c r="A387" s="19" t="s">
        <v>517</v>
      </c>
      <c r="B387" s="20">
        <v>41973</v>
      </c>
      <c r="C387" s="19" t="s">
        <v>55</v>
      </c>
      <c r="D387" s="19" t="s">
        <v>65</v>
      </c>
      <c r="E387" s="19" t="s">
        <v>87</v>
      </c>
      <c r="F387" s="19" t="s">
        <v>123</v>
      </c>
      <c r="G387" s="19" t="s">
        <v>54</v>
      </c>
      <c r="H387" s="19">
        <v>2</v>
      </c>
      <c r="I387" s="21">
        <v>58.64</v>
      </c>
      <c r="J387" s="21">
        <v>28</v>
      </c>
      <c r="K387" s="21">
        <v>117.28</v>
      </c>
      <c r="L387" s="21">
        <v>61.28</v>
      </c>
    </row>
    <row r="388" spans="1:12" x14ac:dyDescent="0.35">
      <c r="A388" s="19" t="s">
        <v>518</v>
      </c>
      <c r="B388" s="20">
        <v>41974</v>
      </c>
      <c r="C388" s="19" t="s">
        <v>59</v>
      </c>
      <c r="D388" s="19" t="s">
        <v>61</v>
      </c>
      <c r="E388" s="19" t="s">
        <v>87</v>
      </c>
      <c r="F388" s="19" t="s">
        <v>115</v>
      </c>
      <c r="G388" s="19" t="s">
        <v>56</v>
      </c>
      <c r="H388" s="19">
        <v>1</v>
      </c>
      <c r="I388" s="21">
        <v>595.91</v>
      </c>
      <c r="J388" s="21">
        <v>220</v>
      </c>
      <c r="K388" s="21">
        <v>595.91</v>
      </c>
      <c r="L388" s="21">
        <v>375.91</v>
      </c>
    </row>
    <row r="389" spans="1:12" x14ac:dyDescent="0.35">
      <c r="A389" s="19" t="s">
        <v>519</v>
      </c>
      <c r="B389" s="20">
        <v>41975</v>
      </c>
      <c r="C389" s="19" t="s">
        <v>57</v>
      </c>
      <c r="D389" s="19" t="s">
        <v>66</v>
      </c>
      <c r="E389" s="19" t="s">
        <v>114</v>
      </c>
      <c r="F389" s="19" t="s">
        <v>137</v>
      </c>
      <c r="G389" s="19" t="s">
        <v>54</v>
      </c>
      <c r="H389" s="19">
        <v>2</v>
      </c>
      <c r="I389" s="21">
        <v>439.71</v>
      </c>
      <c r="J389" s="21">
        <v>180</v>
      </c>
      <c r="K389" s="21">
        <v>879.42</v>
      </c>
      <c r="L389" s="21">
        <v>519.41999999999996</v>
      </c>
    </row>
    <row r="390" spans="1:12" x14ac:dyDescent="0.35">
      <c r="A390" s="19" t="s">
        <v>520</v>
      </c>
      <c r="B390" s="20">
        <v>41977</v>
      </c>
      <c r="C390" s="19" t="s">
        <v>53</v>
      </c>
      <c r="D390" s="19" t="s">
        <v>64</v>
      </c>
      <c r="E390" s="19" t="s">
        <v>98</v>
      </c>
      <c r="F390" s="19" t="s">
        <v>125</v>
      </c>
      <c r="G390" s="19" t="s">
        <v>56</v>
      </c>
      <c r="H390" s="19">
        <v>1</v>
      </c>
      <c r="I390" s="21">
        <v>212.33</v>
      </c>
      <c r="J390" s="21">
        <v>70</v>
      </c>
      <c r="K390" s="21">
        <v>212.33</v>
      </c>
      <c r="L390" s="21">
        <v>142.33000000000001</v>
      </c>
    </row>
    <row r="391" spans="1:12" x14ac:dyDescent="0.35">
      <c r="A391" s="19" t="s">
        <v>521</v>
      </c>
      <c r="B391" s="20">
        <v>41978</v>
      </c>
      <c r="C391" s="19" t="s">
        <v>53</v>
      </c>
      <c r="D391" s="19" t="s">
        <v>64</v>
      </c>
      <c r="E391" s="19" t="s">
        <v>98</v>
      </c>
      <c r="F391" s="19" t="s">
        <v>125</v>
      </c>
      <c r="G391" s="19" t="s">
        <v>56</v>
      </c>
      <c r="H391" s="19">
        <v>1</v>
      </c>
      <c r="I391" s="21">
        <v>220.75</v>
      </c>
      <c r="J391" s="21">
        <v>70</v>
      </c>
      <c r="L391" s="21">
        <v>150.75</v>
      </c>
    </row>
    <row r="392" spans="1:12" x14ac:dyDescent="0.35">
      <c r="A392" s="19" t="s">
        <v>522</v>
      </c>
      <c r="B392" s="20">
        <v>41979</v>
      </c>
      <c r="C392" s="19" t="s">
        <v>563</v>
      </c>
      <c r="D392" s="19" t="s">
        <v>66</v>
      </c>
      <c r="E392" s="19" t="s">
        <v>91</v>
      </c>
      <c r="F392" s="19" t="s">
        <v>142</v>
      </c>
      <c r="G392" s="19" t="s">
        <v>58</v>
      </c>
      <c r="H392" s="19">
        <v>1</v>
      </c>
      <c r="I392" s="21">
        <v>16.37</v>
      </c>
      <c r="J392" s="21">
        <v>4</v>
      </c>
      <c r="K392" s="21">
        <v>16.37</v>
      </c>
      <c r="L392" s="21">
        <v>12.37</v>
      </c>
    </row>
    <row r="393" spans="1:12" x14ac:dyDescent="0.35">
      <c r="A393" s="19" t="s">
        <v>523</v>
      </c>
      <c r="B393" s="20">
        <v>41979</v>
      </c>
      <c r="C393" s="19" t="s">
        <v>57</v>
      </c>
      <c r="D393" s="19" t="s">
        <v>66</v>
      </c>
      <c r="E393" s="19" t="s">
        <v>100</v>
      </c>
      <c r="F393" s="19" t="s">
        <v>137</v>
      </c>
      <c r="G393" s="19" t="s">
        <v>54</v>
      </c>
      <c r="H393" s="19">
        <v>2</v>
      </c>
      <c r="I393" s="21">
        <v>455.07</v>
      </c>
      <c r="J393" s="21">
        <v>180</v>
      </c>
      <c r="K393" s="21">
        <v>910.14</v>
      </c>
      <c r="L393" s="21">
        <v>550.14</v>
      </c>
    </row>
    <row r="394" spans="1:12" x14ac:dyDescent="0.35">
      <c r="A394" s="19" t="s">
        <v>524</v>
      </c>
      <c r="B394" s="20">
        <v>41979</v>
      </c>
      <c r="C394" s="19" t="s">
        <v>59</v>
      </c>
      <c r="D394" s="19" t="s">
        <v>61</v>
      </c>
      <c r="E394" s="19" t="s">
        <v>89</v>
      </c>
      <c r="F394" s="19" t="s">
        <v>115</v>
      </c>
      <c r="G394" s="19" t="s">
        <v>56</v>
      </c>
      <c r="H394" s="19">
        <v>2</v>
      </c>
      <c r="I394" s="21">
        <v>611.62</v>
      </c>
      <c r="J394" s="21">
        <v>220</v>
      </c>
      <c r="K394" s="21">
        <v>1223.24</v>
      </c>
      <c r="L394" s="21">
        <v>783.24</v>
      </c>
    </row>
    <row r="395" spans="1:12" x14ac:dyDescent="0.35">
      <c r="A395" s="19" t="s">
        <v>525</v>
      </c>
      <c r="B395" s="20">
        <v>41983</v>
      </c>
      <c r="C395" s="19" t="s">
        <v>57</v>
      </c>
      <c r="D395" s="19" t="s">
        <v>66</v>
      </c>
      <c r="E395" s="19" t="s">
        <v>131</v>
      </c>
      <c r="F395" s="19" t="s">
        <v>115</v>
      </c>
      <c r="G395" s="19" t="s">
        <v>56</v>
      </c>
      <c r="H395" s="19">
        <v>3</v>
      </c>
      <c r="I395" s="21">
        <v>628.97</v>
      </c>
      <c r="J395" s="21">
        <v>220</v>
      </c>
      <c r="K395" s="21">
        <v>1886.91</v>
      </c>
    </row>
    <row r="396" spans="1:12" x14ac:dyDescent="0.35">
      <c r="A396" s="19" t="s">
        <v>526</v>
      </c>
      <c r="B396" s="20">
        <v>41983</v>
      </c>
      <c r="C396" s="19" t="s">
        <v>57</v>
      </c>
      <c r="D396" s="19" t="s">
        <v>62</v>
      </c>
      <c r="E396" s="19" t="s">
        <v>131</v>
      </c>
      <c r="F396" s="19" t="s">
        <v>123</v>
      </c>
      <c r="G396" s="19" t="s">
        <v>54</v>
      </c>
      <c r="H396" s="19">
        <v>3</v>
      </c>
      <c r="I396" s="21">
        <v>89.88</v>
      </c>
      <c r="J396" s="21">
        <v>28</v>
      </c>
      <c r="K396" s="21">
        <v>269.64</v>
      </c>
      <c r="L396" s="21">
        <v>185.64</v>
      </c>
    </row>
    <row r="397" spans="1:12" x14ac:dyDescent="0.35">
      <c r="A397" s="19" t="s">
        <v>527</v>
      </c>
      <c r="B397" s="20">
        <v>41983</v>
      </c>
      <c r="C397" s="19" t="s">
        <v>53</v>
      </c>
      <c r="D397" s="19" t="s">
        <v>67</v>
      </c>
      <c r="E397" s="19" t="s">
        <v>153</v>
      </c>
      <c r="F397" s="19" t="s">
        <v>125</v>
      </c>
      <c r="G397" s="19" t="s">
        <v>56</v>
      </c>
      <c r="H397" s="19">
        <v>2</v>
      </c>
      <c r="I397" s="21">
        <v>215.72</v>
      </c>
      <c r="J397" s="21">
        <v>70</v>
      </c>
      <c r="K397" s="21">
        <v>431.44</v>
      </c>
      <c r="L397" s="21">
        <v>291.44</v>
      </c>
    </row>
    <row r="398" spans="1:12" x14ac:dyDescent="0.35">
      <c r="A398" s="19" t="s">
        <v>528</v>
      </c>
      <c r="B398" s="20">
        <v>41984</v>
      </c>
      <c r="C398" s="19" t="s">
        <v>59</v>
      </c>
      <c r="D398" s="19" t="s">
        <v>61</v>
      </c>
      <c r="E398" s="19" t="s">
        <v>91</v>
      </c>
      <c r="F398" s="19" t="s">
        <v>115</v>
      </c>
      <c r="G398" s="19" t="s">
        <v>56</v>
      </c>
      <c r="H398" s="19">
        <v>2</v>
      </c>
      <c r="I398" s="21">
        <v>617.92999999999995</v>
      </c>
      <c r="J398" s="21">
        <v>220</v>
      </c>
      <c r="K398" s="21">
        <v>1235.8599999999999</v>
      </c>
      <c r="L398" s="21">
        <v>795.86</v>
      </c>
    </row>
    <row r="399" spans="1:12" x14ac:dyDescent="0.35">
      <c r="A399" s="19" t="s">
        <v>529</v>
      </c>
      <c r="B399" s="20">
        <v>41985</v>
      </c>
      <c r="C399" s="19" t="s">
        <v>59</v>
      </c>
      <c r="D399" s="19" t="s">
        <v>68</v>
      </c>
      <c r="E399" s="19" t="s">
        <v>153</v>
      </c>
      <c r="F399" s="19" t="s">
        <v>115</v>
      </c>
      <c r="G399" s="19" t="s">
        <v>56</v>
      </c>
      <c r="H399" s="19">
        <v>1</v>
      </c>
      <c r="I399" s="21">
        <v>581.67999999999995</v>
      </c>
      <c r="J399" s="21">
        <v>220</v>
      </c>
      <c r="K399" s="21">
        <v>581.67999999999995</v>
      </c>
      <c r="L399" s="21">
        <v>361.68</v>
      </c>
    </row>
    <row r="400" spans="1:12" x14ac:dyDescent="0.35">
      <c r="A400" s="19" t="s">
        <v>530</v>
      </c>
      <c r="B400" s="20">
        <v>41987</v>
      </c>
      <c r="C400" s="19" t="s">
        <v>55</v>
      </c>
      <c r="D400" s="19" t="s">
        <v>65</v>
      </c>
      <c r="E400" s="19" t="s">
        <v>91</v>
      </c>
      <c r="F400" s="19" t="s">
        <v>137</v>
      </c>
      <c r="G400" s="19" t="s">
        <v>54</v>
      </c>
      <c r="H400" s="19">
        <v>2</v>
      </c>
      <c r="I400" s="21">
        <v>452.51</v>
      </c>
      <c r="J400" s="21">
        <v>180</v>
      </c>
      <c r="K400" s="21">
        <v>905.02</v>
      </c>
      <c r="L400" s="21">
        <v>545.02</v>
      </c>
    </row>
    <row r="401" spans="1:12" x14ac:dyDescent="0.35">
      <c r="A401" s="19" t="s">
        <v>531</v>
      </c>
      <c r="B401" s="20">
        <v>41988</v>
      </c>
      <c r="C401" s="19" t="s">
        <v>55</v>
      </c>
      <c r="D401" s="19" t="s">
        <v>61</v>
      </c>
      <c r="E401" s="19" t="s">
        <v>87</v>
      </c>
      <c r="F401" s="19" t="s">
        <v>128</v>
      </c>
      <c r="G401" s="19" t="s">
        <v>54</v>
      </c>
      <c r="H401" s="19">
        <v>2</v>
      </c>
      <c r="I401" s="21">
        <v>116.54</v>
      </c>
      <c r="J401" s="21">
        <v>40</v>
      </c>
      <c r="K401" s="21">
        <v>233.08</v>
      </c>
      <c r="L401" s="21">
        <v>153.08000000000001</v>
      </c>
    </row>
    <row r="402" spans="1:12" x14ac:dyDescent="0.35">
      <c r="A402" s="19" t="s">
        <v>532</v>
      </c>
      <c r="B402" s="20">
        <v>41989</v>
      </c>
      <c r="C402" s="19" t="s">
        <v>55</v>
      </c>
      <c r="D402" s="19" t="s">
        <v>65</v>
      </c>
      <c r="E402" s="19" t="s">
        <v>146</v>
      </c>
      <c r="F402" s="19" t="s">
        <v>125</v>
      </c>
      <c r="G402" s="19" t="s">
        <v>56</v>
      </c>
      <c r="H402" s="19">
        <v>4</v>
      </c>
      <c r="I402" s="21">
        <v>212.64</v>
      </c>
      <c r="J402" s="21">
        <v>70</v>
      </c>
      <c r="K402" s="21">
        <v>850.56</v>
      </c>
      <c r="L402" s="21">
        <v>570.55999999999995</v>
      </c>
    </row>
    <row r="403" spans="1:12" x14ac:dyDescent="0.35">
      <c r="A403" s="19" t="s">
        <v>533</v>
      </c>
      <c r="B403" s="20">
        <v>41990</v>
      </c>
      <c r="C403" s="19" t="s">
        <v>57</v>
      </c>
      <c r="D403" s="19" t="s">
        <v>62</v>
      </c>
      <c r="E403" s="19" t="s">
        <v>98</v>
      </c>
      <c r="F403" s="19" t="s">
        <v>140</v>
      </c>
      <c r="G403" s="19" t="s">
        <v>56</v>
      </c>
      <c r="H403" s="19">
        <v>1</v>
      </c>
      <c r="I403" s="21">
        <v>253.32</v>
      </c>
      <c r="J403" s="21">
        <v>95</v>
      </c>
      <c r="K403" s="21">
        <v>253.32</v>
      </c>
    </row>
    <row r="404" spans="1:12" x14ac:dyDescent="0.35">
      <c r="A404" s="19" t="s">
        <v>534</v>
      </c>
      <c r="B404" s="20">
        <v>41990</v>
      </c>
      <c r="C404" s="19" t="s">
        <v>59</v>
      </c>
      <c r="D404" s="19" t="s">
        <v>68</v>
      </c>
      <c r="E404" s="19" t="s">
        <v>144</v>
      </c>
      <c r="F404" s="19" t="s">
        <v>142</v>
      </c>
      <c r="G404" s="19" t="s">
        <v>58</v>
      </c>
      <c r="H404" s="19">
        <v>1</v>
      </c>
      <c r="I404" s="21">
        <v>16.28</v>
      </c>
      <c r="J404" s="21">
        <v>4</v>
      </c>
      <c r="K404" s="21">
        <v>16.28</v>
      </c>
      <c r="L404" s="21">
        <v>12.28</v>
      </c>
    </row>
    <row r="405" spans="1:12" x14ac:dyDescent="0.35">
      <c r="A405" s="19" t="s">
        <v>535</v>
      </c>
      <c r="B405" s="20">
        <v>41990</v>
      </c>
      <c r="C405" s="19" t="s">
        <v>59</v>
      </c>
      <c r="D405" s="19" t="s">
        <v>61</v>
      </c>
      <c r="E405" s="19" t="s">
        <v>571</v>
      </c>
      <c r="F405" s="19" t="s">
        <v>118</v>
      </c>
      <c r="G405" s="19" t="s">
        <v>54</v>
      </c>
      <c r="H405" s="19">
        <v>4</v>
      </c>
      <c r="I405" s="21">
        <v>38.92</v>
      </c>
      <c r="J405" s="21">
        <v>12</v>
      </c>
      <c r="K405" s="21">
        <v>155.68</v>
      </c>
      <c r="L405" s="21">
        <v>107.68</v>
      </c>
    </row>
    <row r="406" spans="1:12" x14ac:dyDescent="0.35">
      <c r="A406" s="19" t="s">
        <v>536</v>
      </c>
      <c r="B406" s="20">
        <v>41990</v>
      </c>
      <c r="C406" s="19" t="s">
        <v>57</v>
      </c>
      <c r="D406" s="19" t="s">
        <v>66</v>
      </c>
      <c r="E406" s="19" t="s">
        <v>89</v>
      </c>
      <c r="F406" s="19" t="s">
        <v>140</v>
      </c>
      <c r="G406" s="19" t="s">
        <v>56</v>
      </c>
      <c r="H406" s="19">
        <v>3</v>
      </c>
      <c r="I406" s="21">
        <v>247.57</v>
      </c>
      <c r="J406" s="21">
        <v>95</v>
      </c>
      <c r="K406" s="21">
        <v>742.71</v>
      </c>
      <c r="L406" s="21">
        <v>457.71</v>
      </c>
    </row>
    <row r="407" spans="1:12" x14ac:dyDescent="0.35">
      <c r="A407" s="19" t="s">
        <v>537</v>
      </c>
      <c r="B407" s="20">
        <v>41990</v>
      </c>
      <c r="C407" s="19" t="s">
        <v>59</v>
      </c>
      <c r="D407" s="19" t="s">
        <v>68</v>
      </c>
      <c r="E407" s="19" t="s">
        <v>117</v>
      </c>
      <c r="F407" s="19" t="s">
        <v>125</v>
      </c>
      <c r="G407" s="19" t="s">
        <v>56</v>
      </c>
      <c r="H407" s="19">
        <v>3</v>
      </c>
      <c r="I407" s="21">
        <v>222.78</v>
      </c>
      <c r="J407" s="21">
        <v>70</v>
      </c>
      <c r="K407" s="21">
        <v>668.34</v>
      </c>
      <c r="L407" s="21">
        <v>458.34</v>
      </c>
    </row>
    <row r="408" spans="1:12" x14ac:dyDescent="0.35">
      <c r="A408" s="19" t="s">
        <v>538</v>
      </c>
      <c r="B408" s="20">
        <v>41991</v>
      </c>
      <c r="C408" s="19" t="s">
        <v>57</v>
      </c>
      <c r="D408" s="19" t="s">
        <v>66</v>
      </c>
      <c r="E408" s="19" t="s">
        <v>91</v>
      </c>
      <c r="F408" s="19" t="s">
        <v>137</v>
      </c>
      <c r="G408" s="19" t="s">
        <v>54</v>
      </c>
      <c r="H408" s="19">
        <v>1</v>
      </c>
      <c r="I408" s="21">
        <v>434.2</v>
      </c>
      <c r="J408" s="21">
        <v>180</v>
      </c>
      <c r="K408" s="21">
        <v>434.2</v>
      </c>
      <c r="L408" s="21">
        <v>254.2</v>
      </c>
    </row>
    <row r="409" spans="1:12" x14ac:dyDescent="0.35">
      <c r="A409" s="19" t="s">
        <v>539</v>
      </c>
      <c r="B409" s="20">
        <v>41991</v>
      </c>
      <c r="C409" s="19" t="s">
        <v>55</v>
      </c>
      <c r="D409" s="19" t="s">
        <v>63</v>
      </c>
      <c r="E409" s="19" t="s">
        <v>164</v>
      </c>
      <c r="F409" s="19" t="s">
        <v>118</v>
      </c>
      <c r="G409" s="19" t="s">
        <v>54</v>
      </c>
      <c r="H409" s="19">
        <v>1</v>
      </c>
      <c r="I409" s="21">
        <v>37.67</v>
      </c>
      <c r="J409" s="21">
        <v>12</v>
      </c>
      <c r="K409" s="21">
        <v>37.67</v>
      </c>
      <c r="L409" s="21">
        <v>25.67</v>
      </c>
    </row>
    <row r="410" spans="1:12" x14ac:dyDescent="0.35">
      <c r="A410" s="19" t="s">
        <v>540</v>
      </c>
      <c r="B410" s="20">
        <v>41991</v>
      </c>
      <c r="C410" s="19" t="s">
        <v>55</v>
      </c>
      <c r="D410" s="19" t="s">
        <v>65</v>
      </c>
      <c r="E410" s="19" t="s">
        <v>164</v>
      </c>
      <c r="F410" s="19" t="s">
        <v>140</v>
      </c>
      <c r="G410" s="19" t="s">
        <v>56</v>
      </c>
      <c r="H410" s="19">
        <v>1</v>
      </c>
      <c r="I410" s="21">
        <v>250.52</v>
      </c>
      <c r="J410" s="21">
        <v>95</v>
      </c>
      <c r="K410" s="21">
        <v>250.52</v>
      </c>
      <c r="L410" s="21">
        <v>155.52000000000001</v>
      </c>
    </row>
    <row r="411" spans="1:12" x14ac:dyDescent="0.35">
      <c r="A411" s="19" t="s">
        <v>541</v>
      </c>
      <c r="B411" s="20">
        <v>41991</v>
      </c>
      <c r="C411" s="19" t="s">
        <v>55</v>
      </c>
      <c r="D411" s="19" t="s">
        <v>63</v>
      </c>
      <c r="E411" s="19" t="s">
        <v>117</v>
      </c>
      <c r="F411" s="19" t="s">
        <v>128</v>
      </c>
      <c r="G411" s="19" t="s">
        <v>54</v>
      </c>
      <c r="H411" s="19">
        <v>1</v>
      </c>
      <c r="I411" s="21">
        <v>118.89</v>
      </c>
      <c r="J411" s="21">
        <v>40</v>
      </c>
      <c r="K411" s="21">
        <v>118.89</v>
      </c>
      <c r="L411" s="21">
        <v>78.89</v>
      </c>
    </row>
    <row r="412" spans="1:12" x14ac:dyDescent="0.35">
      <c r="A412" s="19" t="s">
        <v>542</v>
      </c>
      <c r="B412" s="20">
        <v>41993</v>
      </c>
      <c r="C412" s="19" t="s">
        <v>55</v>
      </c>
      <c r="D412" s="19" t="s">
        <v>65</v>
      </c>
      <c r="E412" s="19" t="s">
        <v>87</v>
      </c>
      <c r="F412" s="19" t="s">
        <v>137</v>
      </c>
      <c r="G412" s="19" t="s">
        <v>54</v>
      </c>
      <c r="H412" s="19">
        <v>2</v>
      </c>
      <c r="I412" s="21">
        <v>444.93</v>
      </c>
      <c r="J412" s="21">
        <v>180</v>
      </c>
      <c r="K412" s="21">
        <v>889.86</v>
      </c>
      <c r="L412" s="21">
        <v>529.86</v>
      </c>
    </row>
    <row r="413" spans="1:12" x14ac:dyDescent="0.35">
      <c r="A413" s="19" t="s">
        <v>543</v>
      </c>
      <c r="B413" s="20">
        <v>41993</v>
      </c>
      <c r="C413" s="19" t="s">
        <v>53</v>
      </c>
      <c r="D413" s="19" t="s">
        <v>64</v>
      </c>
      <c r="E413" s="19" t="s">
        <v>100</v>
      </c>
      <c r="F413" s="19" t="s">
        <v>140</v>
      </c>
      <c r="G413" s="19" t="s">
        <v>56</v>
      </c>
      <c r="H413" s="19">
        <v>1</v>
      </c>
      <c r="I413" s="21">
        <v>253.94</v>
      </c>
      <c r="J413" s="21">
        <v>95</v>
      </c>
      <c r="K413" s="21">
        <v>253.94</v>
      </c>
      <c r="L413" s="21">
        <v>158.94</v>
      </c>
    </row>
    <row r="414" spans="1:12" x14ac:dyDescent="0.35">
      <c r="A414" s="19" t="s">
        <v>544</v>
      </c>
      <c r="B414" s="20">
        <v>41996</v>
      </c>
      <c r="C414" s="19" t="s">
        <v>57</v>
      </c>
      <c r="D414" s="19" t="s">
        <v>62</v>
      </c>
      <c r="E414" s="19" t="s">
        <v>117</v>
      </c>
      <c r="F414" s="19" t="s">
        <v>115</v>
      </c>
      <c r="G414" s="19" t="s">
        <v>56</v>
      </c>
      <c r="H414" s="19">
        <v>1</v>
      </c>
      <c r="I414" s="21">
        <v>620.91999999999996</v>
      </c>
      <c r="J414" s="21">
        <v>220</v>
      </c>
      <c r="K414" s="21">
        <v>620.91999999999996</v>
      </c>
      <c r="L414" s="21">
        <v>400.92</v>
      </c>
    </row>
    <row r="415" spans="1:12" x14ac:dyDescent="0.35">
      <c r="A415" s="19" t="s">
        <v>545</v>
      </c>
      <c r="B415" s="20">
        <v>41997</v>
      </c>
      <c r="C415" s="19" t="s">
        <v>55</v>
      </c>
      <c r="D415" s="19" t="s">
        <v>63</v>
      </c>
      <c r="E415" s="19" t="s">
        <v>139</v>
      </c>
      <c r="F415" s="19" t="s">
        <v>115</v>
      </c>
      <c r="G415" s="19" t="s">
        <v>56</v>
      </c>
      <c r="H415" s="19">
        <v>1</v>
      </c>
      <c r="I415" s="21">
        <v>576.66999999999996</v>
      </c>
      <c r="J415" s="21">
        <v>220</v>
      </c>
      <c r="K415" s="21">
        <v>576.66999999999996</v>
      </c>
      <c r="L415" s="21">
        <v>356.67</v>
      </c>
    </row>
    <row r="416" spans="1:12" x14ac:dyDescent="0.35">
      <c r="A416" s="19" t="s">
        <v>546</v>
      </c>
      <c r="B416" s="20">
        <v>41997</v>
      </c>
      <c r="C416" s="19" t="s">
        <v>55</v>
      </c>
      <c r="D416" s="19" t="s">
        <v>65</v>
      </c>
      <c r="E416" s="19" t="s">
        <v>117</v>
      </c>
      <c r="F416" s="19" t="s">
        <v>132</v>
      </c>
      <c r="G416" s="19" t="s">
        <v>56</v>
      </c>
      <c r="H416" s="19">
        <v>1</v>
      </c>
      <c r="I416" s="21">
        <v>53.94</v>
      </c>
      <c r="J416" s="21">
        <v>15</v>
      </c>
      <c r="K416" s="21">
        <v>53.94</v>
      </c>
      <c r="L416" s="21">
        <v>38.94</v>
      </c>
    </row>
    <row r="417" spans="1:12" x14ac:dyDescent="0.35">
      <c r="A417" s="19" t="s">
        <v>547</v>
      </c>
      <c r="B417" s="20">
        <v>41999</v>
      </c>
      <c r="C417" s="19" t="s">
        <v>57</v>
      </c>
      <c r="D417" s="19" t="s">
        <v>62</v>
      </c>
      <c r="E417" s="19" t="s">
        <v>150</v>
      </c>
      <c r="F417" s="19" t="s">
        <v>125</v>
      </c>
      <c r="G417" s="19" t="s">
        <v>56</v>
      </c>
      <c r="H417" s="19">
        <v>3</v>
      </c>
      <c r="I417" s="21">
        <v>207.42</v>
      </c>
      <c r="J417" s="21">
        <v>70</v>
      </c>
      <c r="K417" s="21">
        <v>622.26</v>
      </c>
      <c r="L417" s="21">
        <v>412.26</v>
      </c>
    </row>
    <row r="418" spans="1:12" x14ac:dyDescent="0.35">
      <c r="A418" s="19" t="s">
        <v>548</v>
      </c>
      <c r="B418" s="20">
        <v>42000</v>
      </c>
      <c r="C418" s="19" t="s">
        <v>53</v>
      </c>
      <c r="D418" s="19" t="s">
        <v>64</v>
      </c>
      <c r="E418" s="19" t="s">
        <v>91</v>
      </c>
      <c r="F418" s="19" t="s">
        <v>142</v>
      </c>
      <c r="G418" s="19" t="s">
        <v>58</v>
      </c>
      <c r="H418" s="19">
        <v>1</v>
      </c>
      <c r="I418" s="21">
        <v>16.399999999999999</v>
      </c>
      <c r="J418" s="21">
        <v>4</v>
      </c>
      <c r="K418" s="21">
        <v>16.399999999999999</v>
      </c>
      <c r="L418" s="21">
        <v>12.4</v>
      </c>
    </row>
    <row r="419" spans="1:12" x14ac:dyDescent="0.35">
      <c r="A419" s="19" t="s">
        <v>549</v>
      </c>
      <c r="B419" s="20">
        <v>42000</v>
      </c>
      <c r="C419" s="19" t="s">
        <v>53</v>
      </c>
      <c r="D419" s="19" t="s">
        <v>64</v>
      </c>
      <c r="E419" s="19" t="s">
        <v>144</v>
      </c>
      <c r="F419" s="19" t="s">
        <v>125</v>
      </c>
      <c r="G419" s="19" t="s">
        <v>56</v>
      </c>
      <c r="H419" s="19">
        <v>5</v>
      </c>
      <c r="I419" s="21">
        <v>218.5</v>
      </c>
      <c r="J419" s="21">
        <v>70</v>
      </c>
      <c r="K419" s="21">
        <v>1092.5</v>
      </c>
      <c r="L419" s="21">
        <v>742.5</v>
      </c>
    </row>
    <row r="420" spans="1:12" x14ac:dyDescent="0.35">
      <c r="A420" s="19" t="s">
        <v>550</v>
      </c>
      <c r="B420" s="20">
        <v>42003</v>
      </c>
      <c r="C420" s="19" t="s">
        <v>57</v>
      </c>
      <c r="D420" s="19" t="s">
        <v>62</v>
      </c>
      <c r="E420" s="19" t="s">
        <v>144</v>
      </c>
      <c r="F420" s="19" t="s">
        <v>142</v>
      </c>
      <c r="G420" s="19" t="s">
        <v>58</v>
      </c>
      <c r="H420" s="19">
        <v>4</v>
      </c>
      <c r="I420" s="21">
        <v>17.23</v>
      </c>
      <c r="J420" s="21">
        <v>4</v>
      </c>
      <c r="K420" s="21">
        <v>68.92</v>
      </c>
      <c r="L420" s="21">
        <v>52.92</v>
      </c>
    </row>
    <row r="421" spans="1:12" x14ac:dyDescent="0.35">
      <c r="A421" s="19" t="s">
        <v>551</v>
      </c>
      <c r="B421" s="20">
        <v>42004</v>
      </c>
      <c r="C421" s="19" t="s">
        <v>59</v>
      </c>
      <c r="D421" s="19" t="s">
        <v>68</v>
      </c>
      <c r="E421" s="19" t="s">
        <v>87</v>
      </c>
      <c r="F421" s="19" t="s">
        <v>118</v>
      </c>
      <c r="G421" s="19" t="s">
        <v>54</v>
      </c>
      <c r="H421" s="19">
        <v>2</v>
      </c>
      <c r="I421" s="21">
        <v>39.299999999999997</v>
      </c>
      <c r="J421" s="21">
        <v>12</v>
      </c>
      <c r="K421" s="21">
        <v>78.599999999999994</v>
      </c>
      <c r="L421" s="21">
        <v>54.6</v>
      </c>
    </row>
    <row r="422" spans="1:12" x14ac:dyDescent="0.35">
      <c r="A422" s="19" t="s">
        <v>552</v>
      </c>
      <c r="B422" s="20">
        <v>42004</v>
      </c>
      <c r="C422" s="19" t="s">
        <v>57</v>
      </c>
      <c r="D422" s="19" t="s">
        <v>62</v>
      </c>
      <c r="E422" s="19" t="s">
        <v>100</v>
      </c>
      <c r="F422" s="19" t="s">
        <v>137</v>
      </c>
      <c r="G422" s="19" t="s">
        <v>54</v>
      </c>
      <c r="H422" s="19">
        <v>1</v>
      </c>
      <c r="I422" s="21">
        <v>460.11</v>
      </c>
      <c r="J422" s="21">
        <v>180</v>
      </c>
      <c r="K422" s="21">
        <v>460.11</v>
      </c>
      <c r="L422" s="21">
        <v>280.11</v>
      </c>
    </row>
  </sheetData>
  <autoFilter ref="A2:L42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topLeftCell="A16" workbookViewId="0">
      <selection activeCell="C33" sqref="C33"/>
    </sheetView>
  </sheetViews>
  <sheetFormatPr defaultRowHeight="14.5" x14ac:dyDescent="0.35"/>
  <cols>
    <col min="1" max="1" width="14" customWidth="1"/>
    <col min="2" max="2" width="12" customWidth="1"/>
    <col min="3" max="3" width="40" customWidth="1"/>
    <col min="4" max="4" width="48" customWidth="1"/>
  </cols>
  <sheetData>
    <row r="1" spans="1:4" ht="26" x14ac:dyDescent="0.6">
      <c r="A1" s="1" t="s">
        <v>572</v>
      </c>
    </row>
    <row r="3" spans="1:4" x14ac:dyDescent="0.35">
      <c r="A3" s="6" t="s">
        <v>573</v>
      </c>
      <c r="B3" s="6" t="s">
        <v>574</v>
      </c>
      <c r="C3" s="6" t="s">
        <v>14</v>
      </c>
      <c r="D3" s="6" t="s">
        <v>575</v>
      </c>
    </row>
    <row r="4" spans="1:4" x14ac:dyDescent="0.35">
      <c r="A4" s="22" t="s">
        <v>104</v>
      </c>
      <c r="B4" s="22" t="s">
        <v>576</v>
      </c>
      <c r="C4" s="22" t="s">
        <v>577</v>
      </c>
      <c r="D4" s="22" t="s">
        <v>578</v>
      </c>
    </row>
    <row r="5" spans="1:4" x14ac:dyDescent="0.35">
      <c r="A5" s="14" t="s">
        <v>105</v>
      </c>
      <c r="B5" s="14" t="s">
        <v>579</v>
      </c>
      <c r="C5" s="14" t="s">
        <v>580</v>
      </c>
      <c r="D5" s="14" t="s">
        <v>581</v>
      </c>
    </row>
    <row r="6" spans="1:4" x14ac:dyDescent="0.35">
      <c r="A6" s="22" t="s">
        <v>36</v>
      </c>
      <c r="B6" s="22" t="s">
        <v>576</v>
      </c>
      <c r="C6" s="22" t="s">
        <v>582</v>
      </c>
      <c r="D6" s="22" t="s">
        <v>583</v>
      </c>
    </row>
    <row r="7" spans="1:4" x14ac:dyDescent="0.35">
      <c r="A7" s="14" t="s">
        <v>37</v>
      </c>
      <c r="B7" s="14" t="s">
        <v>576</v>
      </c>
      <c r="C7" s="14" t="s">
        <v>584</v>
      </c>
      <c r="D7" s="14" t="s">
        <v>585</v>
      </c>
    </row>
    <row r="8" spans="1:4" x14ac:dyDescent="0.35">
      <c r="A8" s="22" t="s">
        <v>83</v>
      </c>
      <c r="B8" s="22" t="s">
        <v>576</v>
      </c>
      <c r="C8" s="22" t="s">
        <v>586</v>
      </c>
      <c r="D8" s="22" t="s">
        <v>587</v>
      </c>
    </row>
    <row r="9" spans="1:4" x14ac:dyDescent="0.35">
      <c r="A9" s="14" t="s">
        <v>106</v>
      </c>
      <c r="B9" s="14" t="s">
        <v>576</v>
      </c>
      <c r="C9" s="14" t="s">
        <v>588</v>
      </c>
      <c r="D9" s="14" t="s">
        <v>589</v>
      </c>
    </row>
    <row r="10" spans="1:4" x14ac:dyDescent="0.35">
      <c r="A10" s="22" t="s">
        <v>38</v>
      </c>
      <c r="B10" s="22" t="s">
        <v>576</v>
      </c>
      <c r="C10" s="22" t="s">
        <v>590</v>
      </c>
      <c r="D10" s="22" t="s">
        <v>589</v>
      </c>
    </row>
    <row r="11" spans="1:4" x14ac:dyDescent="0.35">
      <c r="A11" s="14" t="s">
        <v>107</v>
      </c>
      <c r="B11" s="14" t="s">
        <v>591</v>
      </c>
      <c r="C11" s="14" t="s">
        <v>592</v>
      </c>
      <c r="D11" s="14" t="s">
        <v>593</v>
      </c>
    </row>
    <row r="12" spans="1:4" x14ac:dyDescent="0.35">
      <c r="A12" s="22" t="s">
        <v>108</v>
      </c>
      <c r="B12" s="22" t="s">
        <v>8</v>
      </c>
      <c r="C12" s="22" t="s">
        <v>594</v>
      </c>
      <c r="D12" s="22" t="s">
        <v>595</v>
      </c>
    </row>
    <row r="13" spans="1:4" x14ac:dyDescent="0.35">
      <c r="A13" s="14" t="s">
        <v>109</v>
      </c>
      <c r="B13" s="14" t="s">
        <v>8</v>
      </c>
      <c r="C13" s="14" t="s">
        <v>596</v>
      </c>
      <c r="D13" s="14" t="s">
        <v>595</v>
      </c>
    </row>
    <row r="14" spans="1:4" x14ac:dyDescent="0.35">
      <c r="A14" s="22" t="s">
        <v>51</v>
      </c>
      <c r="B14" s="22" t="s">
        <v>8</v>
      </c>
      <c r="C14" s="22" t="s">
        <v>597</v>
      </c>
      <c r="D14" s="22" t="s">
        <v>598</v>
      </c>
    </row>
    <row r="15" spans="1:4" x14ac:dyDescent="0.35">
      <c r="A15" s="14" t="s">
        <v>52</v>
      </c>
      <c r="B15" s="14" t="s">
        <v>8</v>
      </c>
      <c r="C15" s="14" t="s">
        <v>599</v>
      </c>
      <c r="D15" s="14" t="s">
        <v>600</v>
      </c>
    </row>
    <row r="16" spans="1:4" x14ac:dyDescent="0.35">
      <c r="A16" s="22" t="s">
        <v>110</v>
      </c>
      <c r="B16" s="22" t="s">
        <v>591</v>
      </c>
      <c r="C16" s="22" t="s">
        <v>601</v>
      </c>
      <c r="D16" s="22" t="s">
        <v>602</v>
      </c>
    </row>
    <row r="17" spans="1:4" x14ac:dyDescent="0.35">
      <c r="A17" s="14" t="s">
        <v>39</v>
      </c>
      <c r="B17" s="14" t="s">
        <v>591</v>
      </c>
      <c r="C17" s="14" t="s">
        <v>603</v>
      </c>
      <c r="D17" s="14" t="s">
        <v>602</v>
      </c>
    </row>
    <row r="18" spans="1:4" x14ac:dyDescent="0.35">
      <c r="A18" s="22" t="s">
        <v>111</v>
      </c>
      <c r="B18" s="22" t="s">
        <v>576</v>
      </c>
      <c r="C18" s="22" t="s">
        <v>604</v>
      </c>
      <c r="D18" s="22" t="s">
        <v>605</v>
      </c>
    </row>
    <row r="19" spans="1:4" x14ac:dyDescent="0.35">
      <c r="A19" s="14" t="s">
        <v>112</v>
      </c>
      <c r="B19" s="14" t="s">
        <v>576</v>
      </c>
      <c r="C19" s="14" t="s">
        <v>606</v>
      </c>
      <c r="D19" s="14" t="s">
        <v>607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>
      <selection activeCell="C9" sqref="C9"/>
    </sheetView>
  </sheetViews>
  <sheetFormatPr defaultRowHeight="14.5" x14ac:dyDescent="0.35"/>
  <cols>
    <col min="1" max="1" width="8" customWidth="1"/>
    <col min="2" max="2" width="18" customWidth="1"/>
    <col min="3" max="3" width="95" customWidth="1"/>
  </cols>
  <sheetData>
    <row r="1" spans="1:3" ht="26" x14ac:dyDescent="0.6">
      <c r="A1" s="1" t="s">
        <v>608</v>
      </c>
    </row>
    <row r="2" spans="1:3" x14ac:dyDescent="0.35">
      <c r="A2" s="6" t="s">
        <v>609</v>
      </c>
      <c r="B2" s="6" t="s">
        <v>610</v>
      </c>
      <c r="C2" s="6" t="s">
        <v>611</v>
      </c>
    </row>
    <row r="3" spans="1:3" x14ac:dyDescent="0.35">
      <c r="A3" s="14" t="s">
        <v>612</v>
      </c>
      <c r="B3" s="23" t="s">
        <v>613</v>
      </c>
      <c r="C3" s="14" t="s">
        <v>614</v>
      </c>
    </row>
    <row r="4" spans="1:3" x14ac:dyDescent="0.35">
      <c r="A4" s="14" t="s">
        <v>615</v>
      </c>
      <c r="B4" s="23" t="s">
        <v>616</v>
      </c>
      <c r="C4" s="14" t="s">
        <v>617</v>
      </c>
    </row>
    <row r="5" spans="1:3" x14ac:dyDescent="0.35">
      <c r="A5" s="14" t="s">
        <v>618</v>
      </c>
      <c r="B5" s="23" t="s">
        <v>619</v>
      </c>
      <c r="C5" s="14" t="s">
        <v>620</v>
      </c>
    </row>
    <row r="6" spans="1:3" x14ac:dyDescent="0.35">
      <c r="A6" s="14" t="s">
        <v>621</v>
      </c>
      <c r="B6" s="23" t="s">
        <v>622</v>
      </c>
      <c r="C6" s="14" t="s">
        <v>623</v>
      </c>
    </row>
    <row r="7" spans="1:3" x14ac:dyDescent="0.35">
      <c r="A7" s="14" t="s">
        <v>624</v>
      </c>
      <c r="B7" s="23" t="s">
        <v>625</v>
      </c>
      <c r="C7" s="14" t="s">
        <v>626</v>
      </c>
    </row>
    <row r="8" spans="1:3" x14ac:dyDescent="0.35">
      <c r="A8" s="14" t="s">
        <v>627</v>
      </c>
      <c r="B8" s="23" t="s">
        <v>628</v>
      </c>
      <c r="C8" s="14" t="s">
        <v>629</v>
      </c>
    </row>
    <row r="9" spans="1:3" x14ac:dyDescent="0.35">
      <c r="A9" s="14" t="s">
        <v>630</v>
      </c>
      <c r="B9" s="23" t="s">
        <v>631</v>
      </c>
      <c r="C9" s="14" t="s">
        <v>632</v>
      </c>
    </row>
    <row r="10" spans="1:3" x14ac:dyDescent="0.35">
      <c r="A10" s="14" t="s">
        <v>633</v>
      </c>
      <c r="B10" s="23" t="s">
        <v>634</v>
      </c>
      <c r="C10" s="14" t="s">
        <v>635</v>
      </c>
    </row>
    <row r="11" spans="1:3" x14ac:dyDescent="0.35">
      <c r="A11" s="14" t="s">
        <v>636</v>
      </c>
      <c r="B11" s="23" t="s">
        <v>637</v>
      </c>
      <c r="C11" s="14" t="s">
        <v>638</v>
      </c>
    </row>
    <row r="12" spans="1:3" x14ac:dyDescent="0.35">
      <c r="A12" s="14" t="s">
        <v>639</v>
      </c>
      <c r="B12" s="23" t="s">
        <v>640</v>
      </c>
      <c r="C12" s="14" t="s">
        <v>641</v>
      </c>
    </row>
    <row r="13" spans="1:3" x14ac:dyDescent="0.35">
      <c r="A13" s="14" t="s">
        <v>642</v>
      </c>
      <c r="B13" s="23" t="s">
        <v>643</v>
      </c>
      <c r="C13" s="14" t="s">
        <v>644</v>
      </c>
    </row>
    <row r="14" spans="1:3" x14ac:dyDescent="0.35">
      <c r="A14" s="14" t="s">
        <v>645</v>
      </c>
      <c r="B14" s="23" t="s">
        <v>646</v>
      </c>
      <c r="C14" s="14" t="s">
        <v>647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7"/>
  <sheetViews>
    <sheetView workbookViewId="0"/>
  </sheetViews>
  <sheetFormatPr defaultRowHeight="14.5" x14ac:dyDescent="0.35"/>
  <cols>
    <col min="1" max="2" width="10" customWidth="1"/>
    <col min="3" max="5" width="14" customWidth="1"/>
    <col min="6" max="6" width="10" customWidth="1"/>
    <col min="7" max="7" width="14" customWidth="1"/>
    <col min="8" max="8" width="10" customWidth="1"/>
  </cols>
  <sheetData>
    <row r="1" spans="1:8" ht="26" x14ac:dyDescent="0.6">
      <c r="A1" s="1" t="s">
        <v>648</v>
      </c>
    </row>
    <row r="3" spans="1:8" x14ac:dyDescent="0.35">
      <c r="A3" s="6" t="s">
        <v>649</v>
      </c>
      <c r="B3" s="6" t="s">
        <v>39</v>
      </c>
      <c r="C3" s="6" t="s">
        <v>51</v>
      </c>
      <c r="D3" s="6" t="s">
        <v>52</v>
      </c>
      <c r="E3" s="6" t="s">
        <v>650</v>
      </c>
      <c r="F3" s="6" t="s">
        <v>46</v>
      </c>
      <c r="G3" s="6" t="s">
        <v>47</v>
      </c>
      <c r="H3" s="6" t="s">
        <v>651</v>
      </c>
    </row>
    <row r="4" spans="1:8" x14ac:dyDescent="0.35">
      <c r="A4" s="14">
        <v>1</v>
      </c>
      <c r="B4" s="14" t="s">
        <v>70</v>
      </c>
      <c r="C4" s="24">
        <v>9611.1</v>
      </c>
      <c r="D4" s="24">
        <v>5009.1000000000004</v>
      </c>
      <c r="E4" s="25">
        <v>0.52117863720073643</v>
      </c>
      <c r="F4" s="14">
        <v>31</v>
      </c>
      <c r="G4" s="16">
        <v>310.04000000000002</v>
      </c>
      <c r="H4" s="14">
        <v>60</v>
      </c>
    </row>
    <row r="5" spans="1:8" x14ac:dyDescent="0.35">
      <c r="A5" s="14">
        <v>2</v>
      </c>
      <c r="B5" s="14" t="s">
        <v>71</v>
      </c>
      <c r="C5" s="24">
        <v>10884.69</v>
      </c>
      <c r="D5" s="24">
        <v>4628.6899999999996</v>
      </c>
      <c r="E5" s="25">
        <v>0.42524775625213013</v>
      </c>
      <c r="F5" s="14">
        <v>41</v>
      </c>
      <c r="G5" s="16">
        <v>265.48</v>
      </c>
      <c r="H5" s="14">
        <v>82</v>
      </c>
    </row>
    <row r="6" spans="1:8" x14ac:dyDescent="0.35">
      <c r="A6" s="14">
        <v>3</v>
      </c>
      <c r="B6" s="14" t="s">
        <v>72</v>
      </c>
      <c r="C6" s="24">
        <v>15226.39</v>
      </c>
      <c r="D6" s="24">
        <v>7704.39</v>
      </c>
      <c r="E6" s="25">
        <v>0.50598927257215931</v>
      </c>
      <c r="F6" s="14">
        <v>37</v>
      </c>
      <c r="G6" s="16">
        <v>411.52</v>
      </c>
      <c r="H6" s="14">
        <v>89</v>
      </c>
    </row>
    <row r="7" spans="1:8" x14ac:dyDescent="0.35">
      <c r="A7" s="14">
        <v>4</v>
      </c>
      <c r="B7" s="14" t="s">
        <v>73</v>
      </c>
      <c r="C7" s="24">
        <v>7289.18</v>
      </c>
      <c r="D7" s="24">
        <v>3135.18</v>
      </c>
      <c r="E7" s="25">
        <v>0.4301142240965376</v>
      </c>
      <c r="F7" s="14">
        <v>29</v>
      </c>
      <c r="G7" s="16">
        <v>251.35</v>
      </c>
      <c r="H7" s="14">
        <v>67</v>
      </c>
    </row>
    <row r="8" spans="1:8" x14ac:dyDescent="0.35">
      <c r="A8" s="14">
        <v>5</v>
      </c>
      <c r="B8" s="14" t="s">
        <v>74</v>
      </c>
      <c r="C8" s="24">
        <v>10652.83</v>
      </c>
      <c r="D8" s="24">
        <v>5523.83</v>
      </c>
      <c r="E8" s="25">
        <v>0.51853169533354049</v>
      </c>
      <c r="F8" s="14">
        <v>35</v>
      </c>
      <c r="G8" s="16">
        <v>304.37</v>
      </c>
      <c r="H8" s="14">
        <v>76</v>
      </c>
    </row>
    <row r="9" spans="1:8" x14ac:dyDescent="0.35">
      <c r="A9" s="14">
        <v>6</v>
      </c>
      <c r="B9" s="14" t="s">
        <v>75</v>
      </c>
      <c r="C9" s="24">
        <v>10629.51</v>
      </c>
      <c r="D9" s="24">
        <v>6970.51</v>
      </c>
      <c r="E9" s="25">
        <v>0.65576964507300872</v>
      </c>
      <c r="F9" s="14">
        <v>43</v>
      </c>
      <c r="G9" s="16">
        <v>247.2</v>
      </c>
      <c r="H9" s="14">
        <v>74</v>
      </c>
    </row>
    <row r="10" spans="1:8" x14ac:dyDescent="0.35">
      <c r="A10" s="14">
        <v>7</v>
      </c>
      <c r="B10" s="14" t="s">
        <v>76</v>
      </c>
      <c r="C10" s="24">
        <v>6289.33</v>
      </c>
      <c r="D10" s="24">
        <v>2655.33</v>
      </c>
      <c r="E10" s="25">
        <v>0.42219600497986282</v>
      </c>
      <c r="F10" s="14">
        <v>31</v>
      </c>
      <c r="G10" s="16">
        <v>202.88</v>
      </c>
      <c r="H10" s="14">
        <v>67</v>
      </c>
    </row>
    <row r="11" spans="1:8" x14ac:dyDescent="0.35">
      <c r="A11" s="14">
        <v>8</v>
      </c>
      <c r="B11" s="14" t="s">
        <v>77</v>
      </c>
      <c r="C11" s="24">
        <v>6775.23</v>
      </c>
      <c r="D11" s="24">
        <v>3601.23</v>
      </c>
      <c r="E11" s="25">
        <v>0.53152881894784387</v>
      </c>
      <c r="F11" s="14">
        <v>29</v>
      </c>
      <c r="G11" s="16">
        <v>233.63</v>
      </c>
      <c r="H11" s="14">
        <v>64</v>
      </c>
    </row>
    <row r="12" spans="1:8" x14ac:dyDescent="0.35">
      <c r="A12" s="14">
        <v>9</v>
      </c>
      <c r="B12" s="14" t="s">
        <v>78</v>
      </c>
      <c r="C12" s="24">
        <v>10190.93</v>
      </c>
      <c r="D12" s="24">
        <v>5384.93</v>
      </c>
      <c r="E12" s="25">
        <v>0.52840417901015913</v>
      </c>
      <c r="F12" s="14">
        <v>33</v>
      </c>
      <c r="G12" s="16">
        <v>308.82</v>
      </c>
      <c r="H12" s="14">
        <v>67</v>
      </c>
    </row>
    <row r="13" spans="1:8" x14ac:dyDescent="0.35">
      <c r="A13" s="14">
        <v>10</v>
      </c>
      <c r="B13" s="14" t="s">
        <v>79</v>
      </c>
      <c r="C13" s="24">
        <v>16865.900000000001</v>
      </c>
      <c r="D13" s="24">
        <v>10795.9</v>
      </c>
      <c r="E13" s="25">
        <v>0.64010221808501189</v>
      </c>
      <c r="F13" s="14">
        <v>45</v>
      </c>
      <c r="G13" s="16">
        <v>374.8</v>
      </c>
      <c r="H13" s="14">
        <v>79</v>
      </c>
    </row>
    <row r="14" spans="1:8" x14ac:dyDescent="0.35">
      <c r="A14" s="14">
        <v>11</v>
      </c>
      <c r="B14" s="14" t="s">
        <v>80</v>
      </c>
      <c r="C14" s="24">
        <v>7774.94</v>
      </c>
      <c r="D14" s="24">
        <v>3444.94</v>
      </c>
      <c r="E14" s="25">
        <v>0.44308251896477652</v>
      </c>
      <c r="F14" s="14">
        <v>31</v>
      </c>
      <c r="G14" s="16">
        <v>250.8</v>
      </c>
      <c r="H14" s="14">
        <v>71</v>
      </c>
    </row>
    <row r="15" spans="1:8" x14ac:dyDescent="0.35">
      <c r="A15" s="14">
        <v>12</v>
      </c>
      <c r="B15" s="14" t="s">
        <v>81</v>
      </c>
      <c r="C15" s="24">
        <v>17864.080000000002</v>
      </c>
      <c r="D15" s="24">
        <v>11413.08</v>
      </c>
      <c r="E15" s="25">
        <v>0.63888428623248439</v>
      </c>
      <c r="F15" s="14">
        <v>35</v>
      </c>
      <c r="G15" s="16">
        <v>510.4</v>
      </c>
      <c r="H15" s="14">
        <v>67</v>
      </c>
    </row>
    <row r="17" spans="2:6" x14ac:dyDescent="0.35">
      <c r="B17" s="12" t="s">
        <v>652</v>
      </c>
      <c r="C17" s="26">
        <v>130054.11</v>
      </c>
      <c r="D17" s="26">
        <v>70267.11</v>
      </c>
      <c r="E17" s="27">
        <v>0.5402913448871397</v>
      </c>
      <c r="F17" s="12">
        <v>420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"/>
  <sheetViews>
    <sheetView topLeftCell="A13" workbookViewId="0"/>
  </sheetViews>
  <sheetFormatPr defaultRowHeight="14.5" x14ac:dyDescent="0.35"/>
  <cols>
    <col min="1" max="1" width="12" customWidth="1"/>
    <col min="2" max="3" width="14" customWidth="1"/>
    <col min="4" max="4" width="12" customWidth="1"/>
    <col min="5" max="5" width="10" customWidth="1"/>
    <col min="6" max="6" width="18" customWidth="1"/>
  </cols>
  <sheetData>
    <row r="1" spans="1:6" ht="26" x14ac:dyDescent="0.6">
      <c r="A1" s="1" t="s">
        <v>653</v>
      </c>
    </row>
    <row r="3" spans="1:6" x14ac:dyDescent="0.35">
      <c r="A3" s="6" t="s">
        <v>36</v>
      </c>
      <c r="B3" s="6" t="s">
        <v>51</v>
      </c>
      <c r="C3" s="6" t="s">
        <v>52</v>
      </c>
      <c r="D3" s="6" t="s">
        <v>654</v>
      </c>
      <c r="E3" s="6" t="s">
        <v>46</v>
      </c>
      <c r="F3" s="6" t="s">
        <v>655</v>
      </c>
    </row>
    <row r="4" spans="1:6" x14ac:dyDescent="0.35">
      <c r="A4" s="14" t="s">
        <v>59</v>
      </c>
      <c r="B4" s="28">
        <v>39735.74</v>
      </c>
      <c r="C4" s="28">
        <v>20794.740000000002</v>
      </c>
      <c r="D4" s="29">
        <v>0.52332585224284256</v>
      </c>
      <c r="E4" s="30">
        <v>114</v>
      </c>
      <c r="F4" s="29">
        <v>0.30553236648960952</v>
      </c>
    </row>
    <row r="5" spans="1:6" x14ac:dyDescent="0.35">
      <c r="A5" s="14" t="s">
        <v>57</v>
      </c>
      <c r="B5" s="28">
        <v>35514.75</v>
      </c>
      <c r="C5" s="28">
        <v>19650.75</v>
      </c>
      <c r="D5" s="29">
        <v>0.55331235613371899</v>
      </c>
      <c r="E5" s="30">
        <v>120</v>
      </c>
      <c r="F5" s="29">
        <v>0.27307672168146008</v>
      </c>
    </row>
    <row r="6" spans="1:6" x14ac:dyDescent="0.35">
      <c r="A6" s="14" t="s">
        <v>53</v>
      </c>
      <c r="B6" s="28">
        <v>30668.53</v>
      </c>
      <c r="C6" s="28">
        <v>16325.53</v>
      </c>
      <c r="D6" s="29">
        <v>0.53232189478921843</v>
      </c>
      <c r="E6" s="30">
        <v>93</v>
      </c>
      <c r="F6" s="29">
        <v>0.2358136163478417</v>
      </c>
    </row>
    <row r="7" spans="1:6" x14ac:dyDescent="0.35">
      <c r="A7" s="14" t="s">
        <v>55</v>
      </c>
      <c r="B7" s="28">
        <v>24135.09</v>
      </c>
      <c r="C7" s="28">
        <v>13496.09</v>
      </c>
      <c r="D7" s="29">
        <v>0.55918954518089681</v>
      </c>
      <c r="E7" s="30">
        <v>93</v>
      </c>
      <c r="F7" s="29">
        <v>0.18557729548108851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"/>
  <sheetViews>
    <sheetView topLeftCell="A21" workbookViewId="0"/>
  </sheetViews>
  <sheetFormatPr defaultRowHeight="14.5" x14ac:dyDescent="0.35"/>
  <cols>
    <col min="1" max="1" width="8" customWidth="1"/>
    <col min="2" max="2" width="20" customWidth="1"/>
    <col min="3" max="3" width="14" customWidth="1"/>
    <col min="4" max="5" width="12" customWidth="1"/>
    <col min="6" max="6" width="10" customWidth="1"/>
    <col min="7" max="7" width="12" customWidth="1"/>
  </cols>
  <sheetData>
    <row r="1" spans="1:7" ht="26" x14ac:dyDescent="0.6">
      <c r="A1" s="1" t="s">
        <v>656</v>
      </c>
    </row>
    <row r="3" spans="1:7" x14ac:dyDescent="0.35">
      <c r="A3" s="6" t="s">
        <v>657</v>
      </c>
      <c r="B3" s="6" t="s">
        <v>37</v>
      </c>
      <c r="C3" s="6" t="s">
        <v>51</v>
      </c>
      <c r="D3" s="6" t="s">
        <v>52</v>
      </c>
      <c r="E3" s="6" t="s">
        <v>654</v>
      </c>
      <c r="F3" s="6" t="s">
        <v>46</v>
      </c>
      <c r="G3" s="6" t="s">
        <v>658</v>
      </c>
    </row>
    <row r="4" spans="1:7" x14ac:dyDescent="0.35">
      <c r="A4" s="14">
        <v>1</v>
      </c>
      <c r="B4" s="14" t="s">
        <v>66</v>
      </c>
      <c r="C4" s="24">
        <v>21322.2</v>
      </c>
      <c r="D4" s="24">
        <v>11710.2</v>
      </c>
      <c r="E4" s="25">
        <v>0.54920223991895778</v>
      </c>
      <c r="F4" s="14">
        <v>59</v>
      </c>
      <c r="G4" s="16">
        <v>361.39</v>
      </c>
    </row>
    <row r="5" spans="1:7" x14ac:dyDescent="0.35">
      <c r="A5" s="14">
        <v>2</v>
      </c>
      <c r="B5" s="14" t="s">
        <v>68</v>
      </c>
      <c r="C5" s="24">
        <v>18776.580000000002</v>
      </c>
      <c r="D5" s="24">
        <v>9677.58</v>
      </c>
      <c r="E5" s="25">
        <v>0.51540695909478718</v>
      </c>
      <c r="F5" s="14">
        <v>55</v>
      </c>
      <c r="G5" s="16">
        <v>341.39</v>
      </c>
    </row>
    <row r="6" spans="1:7" x14ac:dyDescent="0.35">
      <c r="A6" s="14">
        <v>3</v>
      </c>
      <c r="B6" s="14" t="s">
        <v>61</v>
      </c>
      <c r="C6" s="24">
        <v>18182.78</v>
      </c>
      <c r="D6" s="24">
        <v>9917.7800000000007</v>
      </c>
      <c r="E6" s="25">
        <v>0.54544904574547992</v>
      </c>
      <c r="F6" s="14">
        <v>63</v>
      </c>
      <c r="G6" s="16">
        <v>288.62</v>
      </c>
    </row>
    <row r="7" spans="1:7" x14ac:dyDescent="0.35">
      <c r="A7" s="14">
        <v>4</v>
      </c>
      <c r="B7" s="14" t="s">
        <v>67</v>
      </c>
      <c r="C7" s="24">
        <v>15670.56</v>
      </c>
      <c r="D7" s="24">
        <v>8436.56</v>
      </c>
      <c r="E7" s="25">
        <v>0.53837003910517556</v>
      </c>
      <c r="F7" s="14">
        <v>50</v>
      </c>
      <c r="G7" s="16">
        <v>313.41000000000003</v>
      </c>
    </row>
    <row r="8" spans="1:7" x14ac:dyDescent="0.35">
      <c r="A8" s="14">
        <v>5</v>
      </c>
      <c r="B8" s="14" t="s">
        <v>64</v>
      </c>
      <c r="C8" s="24">
        <v>15205.84</v>
      </c>
      <c r="D8" s="24">
        <v>8034.84</v>
      </c>
      <c r="E8" s="25">
        <v>0.52840487602131803</v>
      </c>
      <c r="F8" s="14">
        <v>46</v>
      </c>
      <c r="G8" s="16">
        <v>330.56</v>
      </c>
    </row>
    <row r="9" spans="1:7" x14ac:dyDescent="0.35">
      <c r="A9" s="14">
        <v>6</v>
      </c>
      <c r="B9" s="14" t="s">
        <v>62</v>
      </c>
      <c r="C9" s="24">
        <v>14141.93</v>
      </c>
      <c r="D9" s="24">
        <v>7709.93</v>
      </c>
      <c r="E9" s="25">
        <v>0.54518230538547419</v>
      </c>
      <c r="F9" s="14">
        <v>55</v>
      </c>
      <c r="G9" s="16">
        <v>257.13</v>
      </c>
    </row>
    <row r="10" spans="1:7" x14ac:dyDescent="0.35">
      <c r="A10" s="14">
        <v>7</v>
      </c>
      <c r="B10" s="14" t="s">
        <v>63</v>
      </c>
      <c r="C10" s="24">
        <v>13891.52</v>
      </c>
      <c r="D10" s="24">
        <v>7588.52</v>
      </c>
      <c r="E10" s="25">
        <v>0.5462699546197971</v>
      </c>
      <c r="F10" s="14">
        <v>52</v>
      </c>
      <c r="G10" s="16">
        <v>267.14</v>
      </c>
    </row>
    <row r="11" spans="1:7" x14ac:dyDescent="0.35">
      <c r="A11" s="14">
        <v>8</v>
      </c>
      <c r="B11" s="14" t="s">
        <v>65</v>
      </c>
      <c r="C11" s="24">
        <v>12862.7</v>
      </c>
      <c r="D11" s="24">
        <v>7191.7</v>
      </c>
      <c r="E11" s="25">
        <v>0.55911278347469795</v>
      </c>
      <c r="F11" s="14">
        <v>40</v>
      </c>
      <c r="G11" s="16">
        <v>321.57</v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8"/>
  <sheetViews>
    <sheetView workbookViewId="0"/>
  </sheetViews>
  <sheetFormatPr defaultRowHeight="14.5" x14ac:dyDescent="0.35"/>
  <cols>
    <col min="1" max="1" width="8" customWidth="1"/>
    <col min="2" max="3" width="14" customWidth="1"/>
    <col min="4" max="4" width="10" customWidth="1"/>
    <col min="5" max="5" width="14" customWidth="1"/>
    <col min="6" max="6" width="12" customWidth="1"/>
  </cols>
  <sheetData>
    <row r="1" spans="1:9" ht="26" x14ac:dyDescent="0.6">
      <c r="A1" s="1" t="s">
        <v>659</v>
      </c>
    </row>
    <row r="3" spans="1:9" x14ac:dyDescent="0.35">
      <c r="A3" s="6" t="s">
        <v>657</v>
      </c>
      <c r="B3" s="6" t="s">
        <v>83</v>
      </c>
      <c r="C3" s="6" t="s">
        <v>51</v>
      </c>
      <c r="D3" s="6" t="s">
        <v>46</v>
      </c>
      <c r="E3" s="6" t="s">
        <v>47</v>
      </c>
      <c r="F3" s="6" t="s">
        <v>660</v>
      </c>
      <c r="H3" s="6" t="s">
        <v>661</v>
      </c>
      <c r="I3" s="6" t="s">
        <v>51</v>
      </c>
    </row>
    <row r="4" spans="1:9" x14ac:dyDescent="0.35">
      <c r="A4" s="30">
        <v>1</v>
      </c>
      <c r="B4" s="30" t="s">
        <v>87</v>
      </c>
      <c r="C4" s="28">
        <v>15688.08</v>
      </c>
      <c r="D4" s="30">
        <v>32</v>
      </c>
      <c r="E4" s="31">
        <v>490.25</v>
      </c>
      <c r="F4" s="29">
        <v>0.1206273296553258</v>
      </c>
      <c r="H4" t="s">
        <v>87</v>
      </c>
      <c r="I4" s="9">
        <v>15688.08</v>
      </c>
    </row>
    <row r="5" spans="1:9" x14ac:dyDescent="0.35">
      <c r="A5" s="30">
        <v>2</v>
      </c>
      <c r="B5" s="30" t="s">
        <v>89</v>
      </c>
      <c r="C5" s="28">
        <v>11880.17</v>
      </c>
      <c r="D5" s="30">
        <v>24</v>
      </c>
      <c r="E5" s="31">
        <v>495.01</v>
      </c>
      <c r="F5" s="29">
        <v>9.1347901269709986E-2</v>
      </c>
      <c r="H5" t="s">
        <v>89</v>
      </c>
      <c r="I5" s="9">
        <v>11880.17</v>
      </c>
    </row>
    <row r="6" spans="1:9" x14ac:dyDescent="0.35">
      <c r="A6" s="30">
        <v>3</v>
      </c>
      <c r="B6" s="30" t="s">
        <v>91</v>
      </c>
      <c r="C6" s="28">
        <v>11642.84</v>
      </c>
      <c r="D6" s="30">
        <v>37</v>
      </c>
      <c r="E6" s="31">
        <v>314.67</v>
      </c>
      <c r="F6" s="29">
        <v>8.9523045446237723E-2</v>
      </c>
      <c r="H6" t="s">
        <v>91</v>
      </c>
      <c r="I6" s="9">
        <v>11642.84</v>
      </c>
    </row>
    <row r="7" spans="1:9" x14ac:dyDescent="0.35">
      <c r="A7" s="30">
        <v>4</v>
      </c>
      <c r="B7" s="30" t="s">
        <v>98</v>
      </c>
      <c r="C7" s="28">
        <v>9810.18</v>
      </c>
      <c r="D7" s="30">
        <v>35</v>
      </c>
      <c r="E7" s="31">
        <v>280.29000000000002</v>
      </c>
      <c r="F7" s="29">
        <v>7.543152615476742E-2</v>
      </c>
      <c r="H7" t="s">
        <v>98</v>
      </c>
      <c r="I7" s="9">
        <v>9810.18</v>
      </c>
    </row>
    <row r="8" spans="1:9" x14ac:dyDescent="0.35">
      <c r="A8" s="30">
        <v>5</v>
      </c>
      <c r="B8" s="30" t="s">
        <v>100</v>
      </c>
      <c r="C8" s="28">
        <v>9510.23</v>
      </c>
      <c r="D8" s="30">
        <v>41</v>
      </c>
      <c r="E8" s="31">
        <v>231.96</v>
      </c>
      <c r="F8" s="29">
        <v>7.3125178435345106E-2</v>
      </c>
      <c r="H8" t="s">
        <v>100</v>
      </c>
      <c r="I8" s="9">
        <v>9510.23</v>
      </c>
    </row>
    <row r="9" spans="1:9" x14ac:dyDescent="0.35">
      <c r="A9" s="30">
        <v>6</v>
      </c>
      <c r="B9" s="30" t="s">
        <v>117</v>
      </c>
      <c r="C9" s="28">
        <v>9417.86</v>
      </c>
      <c r="D9" s="30">
        <v>30</v>
      </c>
      <c r="E9" s="31">
        <v>313.93</v>
      </c>
      <c r="F9" s="29">
        <v>7.2414935598728844E-2</v>
      </c>
    </row>
    <row r="10" spans="1:9" x14ac:dyDescent="0.35">
      <c r="A10" s="30">
        <v>7</v>
      </c>
      <c r="B10" s="30" t="s">
        <v>150</v>
      </c>
      <c r="C10" s="28">
        <v>9223.48</v>
      </c>
      <c r="D10" s="30">
        <v>24</v>
      </c>
      <c r="E10" s="31">
        <v>384.31</v>
      </c>
      <c r="F10" s="29">
        <v>7.0920326931613306E-2</v>
      </c>
    </row>
    <row r="11" spans="1:9" x14ac:dyDescent="0.35">
      <c r="A11" s="30">
        <v>8</v>
      </c>
      <c r="B11" s="30" t="s">
        <v>131</v>
      </c>
      <c r="C11" s="28">
        <v>8719.9699999999993</v>
      </c>
      <c r="D11" s="30">
        <v>34</v>
      </c>
      <c r="E11" s="31">
        <v>256.47000000000003</v>
      </c>
      <c r="F11" s="29">
        <v>6.7048784540527012E-2</v>
      </c>
    </row>
    <row r="12" spans="1:9" x14ac:dyDescent="0.35">
      <c r="A12" s="30">
        <v>9</v>
      </c>
      <c r="B12" s="30" t="s">
        <v>114</v>
      </c>
      <c r="C12" s="28">
        <v>8054.19</v>
      </c>
      <c r="D12" s="30">
        <v>24</v>
      </c>
      <c r="E12" s="31">
        <v>335.59</v>
      </c>
      <c r="F12" s="29">
        <v>6.1929530716099628E-2</v>
      </c>
    </row>
    <row r="13" spans="1:9" x14ac:dyDescent="0.35">
      <c r="A13" s="30">
        <v>10</v>
      </c>
      <c r="B13" s="30" t="s">
        <v>146</v>
      </c>
      <c r="C13" s="28">
        <v>7490.64</v>
      </c>
      <c r="D13" s="30">
        <v>23</v>
      </c>
      <c r="E13" s="31">
        <v>325.68</v>
      </c>
      <c r="F13" s="29">
        <v>5.7596334325766413E-2</v>
      </c>
    </row>
    <row r="14" spans="1:9" x14ac:dyDescent="0.35">
      <c r="A14" s="30">
        <v>11</v>
      </c>
      <c r="B14" s="30" t="s">
        <v>134</v>
      </c>
      <c r="C14" s="28">
        <v>6585.82</v>
      </c>
      <c r="D14" s="30">
        <v>29</v>
      </c>
      <c r="E14" s="31">
        <v>227.1</v>
      </c>
      <c r="F14" s="29">
        <v>5.0639076304470489E-2</v>
      </c>
    </row>
    <row r="15" spans="1:9" x14ac:dyDescent="0.35">
      <c r="A15" s="30">
        <v>12</v>
      </c>
      <c r="B15" s="30" t="s">
        <v>164</v>
      </c>
      <c r="C15" s="28">
        <v>6097.04</v>
      </c>
      <c r="D15" s="30">
        <v>20</v>
      </c>
      <c r="E15" s="31">
        <v>304.85000000000002</v>
      </c>
      <c r="F15" s="29">
        <v>4.6880794463166141E-2</v>
      </c>
    </row>
    <row r="16" spans="1:9" x14ac:dyDescent="0.35">
      <c r="A16" s="30">
        <v>13</v>
      </c>
      <c r="B16" s="30" t="s">
        <v>139</v>
      </c>
      <c r="C16" s="28">
        <v>5881.58</v>
      </c>
      <c r="D16" s="30">
        <v>25</v>
      </c>
      <c r="E16" s="31">
        <v>235.26</v>
      </c>
      <c r="F16" s="29">
        <v>4.5224099415235697E-2</v>
      </c>
    </row>
    <row r="17" spans="1:6" x14ac:dyDescent="0.35">
      <c r="A17" s="30">
        <v>14</v>
      </c>
      <c r="B17" s="30" t="s">
        <v>153</v>
      </c>
      <c r="C17" s="28">
        <v>5472.17</v>
      </c>
      <c r="D17" s="30">
        <v>21</v>
      </c>
      <c r="E17" s="31">
        <v>260.58</v>
      </c>
      <c r="F17" s="29">
        <v>4.2076102016306897E-2</v>
      </c>
    </row>
    <row r="18" spans="1:6" x14ac:dyDescent="0.35">
      <c r="A18" s="30">
        <v>15</v>
      </c>
      <c r="B18" s="30" t="s">
        <v>144</v>
      </c>
      <c r="C18" s="28">
        <v>4579.8599999999997</v>
      </c>
      <c r="D18" s="30">
        <v>21</v>
      </c>
      <c r="E18" s="31">
        <v>218.09</v>
      </c>
      <c r="F18" s="29">
        <v>3.5215034726699533E-2</v>
      </c>
    </row>
  </sheetData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8"/>
  <sheetViews>
    <sheetView topLeftCell="A25" workbookViewId="0">
      <selection activeCell="A33" sqref="A33"/>
    </sheetView>
  </sheetViews>
  <sheetFormatPr defaultRowHeight="14.5" x14ac:dyDescent="0.35"/>
  <cols>
    <col min="1" max="1" width="100" customWidth="1"/>
  </cols>
  <sheetData>
    <row r="1" spans="1:6" ht="26" x14ac:dyDescent="0.6">
      <c r="A1" s="1" t="s">
        <v>662</v>
      </c>
    </row>
    <row r="2" spans="1:6" x14ac:dyDescent="0.35">
      <c r="A2" s="2" t="s">
        <v>663</v>
      </c>
    </row>
    <row r="4" spans="1:6" ht="18.5" x14ac:dyDescent="0.45">
      <c r="A4" s="3" t="s">
        <v>664</v>
      </c>
    </row>
    <row r="5" spans="1:6" ht="15.5" x14ac:dyDescent="0.35">
      <c r="A5" s="57" t="s">
        <v>665</v>
      </c>
      <c r="B5" s="43"/>
      <c r="C5" s="43"/>
      <c r="D5" s="43"/>
      <c r="E5" s="43"/>
      <c r="F5" s="43"/>
    </row>
    <row r="6" spans="1:6" ht="45" customHeight="1" x14ac:dyDescent="0.35">
      <c r="A6" s="59" t="s">
        <v>666</v>
      </c>
      <c r="B6" s="43"/>
      <c r="C6" s="43"/>
      <c r="D6" s="43"/>
      <c r="E6" s="43"/>
      <c r="F6" s="43"/>
    </row>
    <row r="8" spans="1:6" ht="15.5" x14ac:dyDescent="0.35">
      <c r="A8" s="57" t="s">
        <v>667</v>
      </c>
      <c r="B8" s="43"/>
      <c r="C8" s="43"/>
      <c r="D8" s="43"/>
      <c r="E8" s="43"/>
      <c r="F8" s="43"/>
    </row>
    <row r="9" spans="1:6" ht="45" customHeight="1" x14ac:dyDescent="0.35">
      <c r="A9" s="59" t="s">
        <v>668</v>
      </c>
      <c r="B9" s="43"/>
      <c r="C9" s="43"/>
      <c r="D9" s="43"/>
      <c r="E9" s="43"/>
      <c r="F9" s="43"/>
    </row>
    <row r="11" spans="1:6" ht="15.5" x14ac:dyDescent="0.35">
      <c r="A11" s="57" t="s">
        <v>669</v>
      </c>
      <c r="B11" s="43"/>
      <c r="C11" s="43"/>
      <c r="D11" s="43"/>
      <c r="E11" s="43"/>
      <c r="F11" s="43"/>
    </row>
    <row r="12" spans="1:6" ht="45" customHeight="1" x14ac:dyDescent="0.35">
      <c r="A12" s="59" t="s">
        <v>670</v>
      </c>
      <c r="B12" s="43"/>
      <c r="C12" s="43"/>
      <c r="D12" s="43"/>
      <c r="E12" s="43"/>
      <c r="F12" s="43"/>
    </row>
    <row r="14" spans="1:6" ht="15.5" x14ac:dyDescent="0.35">
      <c r="A14" s="57" t="s">
        <v>671</v>
      </c>
      <c r="B14" s="43"/>
      <c r="C14" s="43"/>
      <c r="D14" s="43"/>
      <c r="E14" s="43"/>
      <c r="F14" s="43"/>
    </row>
    <row r="15" spans="1:6" ht="45" customHeight="1" x14ac:dyDescent="0.35">
      <c r="A15" s="59" t="s">
        <v>672</v>
      </c>
      <c r="B15" s="43"/>
      <c r="C15" s="43"/>
      <c r="D15" s="43"/>
      <c r="E15" s="43"/>
      <c r="F15" s="43"/>
    </row>
    <row r="17" spans="1:6" ht="15.5" x14ac:dyDescent="0.35">
      <c r="A17" s="57" t="s">
        <v>673</v>
      </c>
      <c r="B17" s="43"/>
      <c r="C17" s="43"/>
      <c r="D17" s="43"/>
      <c r="E17" s="43"/>
      <c r="F17" s="43"/>
    </row>
    <row r="18" spans="1:6" ht="45" customHeight="1" x14ac:dyDescent="0.35">
      <c r="A18" s="59" t="s">
        <v>674</v>
      </c>
      <c r="B18" s="43"/>
      <c r="C18" s="43"/>
      <c r="D18" s="43"/>
      <c r="E18" s="43"/>
      <c r="F18" s="43"/>
    </row>
    <row r="20" spans="1:6" ht="15.5" x14ac:dyDescent="0.35">
      <c r="A20" s="57" t="s">
        <v>675</v>
      </c>
      <c r="B20" s="43"/>
      <c r="C20" s="43"/>
      <c r="D20" s="43"/>
      <c r="E20" s="43"/>
      <c r="F20" s="43"/>
    </row>
    <row r="21" spans="1:6" ht="45" customHeight="1" x14ac:dyDescent="0.35">
      <c r="A21" s="59" t="s">
        <v>676</v>
      </c>
      <c r="B21" s="43"/>
      <c r="C21" s="43"/>
      <c r="D21" s="43"/>
      <c r="E21" s="43"/>
      <c r="F21" s="43"/>
    </row>
    <row r="24" spans="1:6" ht="18.5" x14ac:dyDescent="0.45">
      <c r="A24" s="3" t="s">
        <v>677</v>
      </c>
    </row>
    <row r="25" spans="1:6" ht="30" customHeight="1" x14ac:dyDescent="0.35">
      <c r="A25" s="60" t="s">
        <v>678</v>
      </c>
      <c r="B25" s="43"/>
      <c r="C25" s="43"/>
      <c r="D25" s="43"/>
      <c r="E25" s="43"/>
      <c r="F25" s="43"/>
    </row>
    <row r="26" spans="1:6" ht="30" customHeight="1" x14ac:dyDescent="0.35">
      <c r="A26" s="60" t="s">
        <v>679</v>
      </c>
      <c r="B26" s="43"/>
      <c r="C26" s="43"/>
      <c r="D26" s="43"/>
      <c r="E26" s="43"/>
      <c r="F26" s="43"/>
    </row>
    <row r="27" spans="1:6" ht="30" customHeight="1" x14ac:dyDescent="0.35">
      <c r="A27" s="60" t="s">
        <v>680</v>
      </c>
      <c r="B27" s="43"/>
      <c r="C27" s="43"/>
      <c r="D27" s="43"/>
      <c r="E27" s="43"/>
      <c r="F27" s="43"/>
    </row>
    <row r="28" spans="1:6" ht="30" customHeight="1" x14ac:dyDescent="0.35">
      <c r="A28" s="58" t="s">
        <v>681</v>
      </c>
      <c r="B28" s="43"/>
      <c r="C28" s="43"/>
      <c r="D28" s="43"/>
      <c r="E28" s="43"/>
      <c r="F28" s="43"/>
    </row>
    <row r="29" spans="1:6" ht="30" customHeight="1" x14ac:dyDescent="0.35">
      <c r="A29" s="58" t="s">
        <v>682</v>
      </c>
      <c r="B29" s="43"/>
      <c r="C29" s="43"/>
      <c r="D29" s="43"/>
      <c r="E29" s="43"/>
      <c r="F29" s="43"/>
    </row>
    <row r="30" spans="1:6" ht="30" customHeight="1" x14ac:dyDescent="0.35">
      <c r="A30" s="58" t="s">
        <v>683</v>
      </c>
      <c r="B30" s="43"/>
      <c r="C30" s="43"/>
      <c r="D30" s="43"/>
      <c r="E30" s="43"/>
      <c r="F30" s="43"/>
    </row>
    <row r="33" spans="1:1" ht="18.5" x14ac:dyDescent="0.45">
      <c r="A33" s="3"/>
    </row>
    <row r="34" spans="1:1" x14ac:dyDescent="0.35">
      <c r="A34" s="32"/>
    </row>
    <row r="35" spans="1:1" x14ac:dyDescent="0.35">
      <c r="A35" s="32"/>
    </row>
    <row r="36" spans="1:1" x14ac:dyDescent="0.35">
      <c r="A36" s="32"/>
    </row>
    <row r="37" spans="1:1" x14ac:dyDescent="0.35">
      <c r="A37" s="32"/>
    </row>
    <row r="38" spans="1:1" x14ac:dyDescent="0.35">
      <c r="A38" s="32"/>
    </row>
  </sheetData>
  <mergeCells count="18">
    <mergeCell ref="A30:F30"/>
    <mergeCell ref="A20:F20"/>
    <mergeCell ref="A21:F21"/>
    <mergeCell ref="A15:F15"/>
    <mergeCell ref="A25:F25"/>
    <mergeCell ref="A29:F29"/>
    <mergeCell ref="A6:F6"/>
    <mergeCell ref="A17:F17"/>
    <mergeCell ref="A12:F12"/>
    <mergeCell ref="A18:F18"/>
    <mergeCell ref="A26:F26"/>
    <mergeCell ref="A11:F11"/>
    <mergeCell ref="A28:F28"/>
    <mergeCell ref="A14:F14"/>
    <mergeCell ref="A5:F5"/>
    <mergeCell ref="A9:F9"/>
    <mergeCell ref="A27:F27"/>
    <mergeCell ref="A8:F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4"/>
  <sheetViews>
    <sheetView workbookViewId="0"/>
  </sheetViews>
  <sheetFormatPr defaultRowHeight="14.5" x14ac:dyDescent="0.35"/>
  <sheetData>
    <row r="1" spans="1:10" x14ac:dyDescent="0.35">
      <c r="A1" t="s">
        <v>36</v>
      </c>
      <c r="B1" t="s">
        <v>37</v>
      </c>
      <c r="C1" t="s">
        <v>38</v>
      </c>
      <c r="D1" t="s">
        <v>111</v>
      </c>
      <c r="E1" t="s">
        <v>684</v>
      </c>
      <c r="G1" t="s">
        <v>685</v>
      </c>
      <c r="H1" t="s">
        <v>686</v>
      </c>
      <c r="I1" t="s">
        <v>687</v>
      </c>
      <c r="J1" t="s">
        <v>688</v>
      </c>
    </row>
    <row r="2" spans="1:10" x14ac:dyDescent="0.35">
      <c r="A2" t="s">
        <v>53</v>
      </c>
      <c r="B2" t="s">
        <v>61</v>
      </c>
      <c r="C2" t="s">
        <v>54</v>
      </c>
      <c r="D2" t="s">
        <v>70</v>
      </c>
      <c r="E2" t="s">
        <v>41</v>
      </c>
      <c r="G2" t="s">
        <v>41</v>
      </c>
      <c r="H2" t="s">
        <v>41</v>
      </c>
      <c r="I2" t="s">
        <v>41</v>
      </c>
      <c r="J2" t="s">
        <v>41</v>
      </c>
    </row>
    <row r="3" spans="1:10" x14ac:dyDescent="0.35">
      <c r="A3" t="s">
        <v>55</v>
      </c>
      <c r="B3" t="s">
        <v>62</v>
      </c>
      <c r="C3" t="s">
        <v>56</v>
      </c>
      <c r="D3" t="s">
        <v>71</v>
      </c>
      <c r="G3" t="s">
        <v>53</v>
      </c>
      <c r="H3" t="s">
        <v>61</v>
      </c>
      <c r="I3" t="s">
        <v>54</v>
      </c>
      <c r="J3" t="s">
        <v>70</v>
      </c>
    </row>
    <row r="4" spans="1:10" x14ac:dyDescent="0.35">
      <c r="A4" t="s">
        <v>57</v>
      </c>
      <c r="B4" t="s">
        <v>63</v>
      </c>
      <c r="C4" t="s">
        <v>58</v>
      </c>
      <c r="D4" t="s">
        <v>72</v>
      </c>
      <c r="G4" t="s">
        <v>55</v>
      </c>
      <c r="H4" t="s">
        <v>62</v>
      </c>
      <c r="I4" t="s">
        <v>56</v>
      </c>
      <c r="J4" t="s">
        <v>71</v>
      </c>
    </row>
    <row r="5" spans="1:10" x14ac:dyDescent="0.35">
      <c r="A5" t="s">
        <v>59</v>
      </c>
      <c r="B5" t="s">
        <v>64</v>
      </c>
      <c r="D5" t="s">
        <v>73</v>
      </c>
      <c r="G5" t="s">
        <v>57</v>
      </c>
      <c r="H5" t="s">
        <v>63</v>
      </c>
      <c r="I5" t="s">
        <v>58</v>
      </c>
      <c r="J5" t="s">
        <v>72</v>
      </c>
    </row>
    <row r="6" spans="1:10" x14ac:dyDescent="0.35">
      <c r="B6" t="s">
        <v>65</v>
      </c>
      <c r="D6" t="s">
        <v>74</v>
      </c>
      <c r="G6" t="s">
        <v>59</v>
      </c>
      <c r="H6" t="s">
        <v>64</v>
      </c>
      <c r="J6" t="s">
        <v>73</v>
      </c>
    </row>
    <row r="7" spans="1:10" x14ac:dyDescent="0.35">
      <c r="B7" t="s">
        <v>66</v>
      </c>
      <c r="D7" t="s">
        <v>75</v>
      </c>
      <c r="H7" t="s">
        <v>65</v>
      </c>
      <c r="J7" t="s">
        <v>74</v>
      </c>
    </row>
    <row r="8" spans="1:10" x14ac:dyDescent="0.35">
      <c r="B8" t="s">
        <v>67</v>
      </c>
      <c r="D8" t="s">
        <v>76</v>
      </c>
      <c r="H8" t="s">
        <v>66</v>
      </c>
      <c r="J8" t="s">
        <v>75</v>
      </c>
    </row>
    <row r="9" spans="1:10" x14ac:dyDescent="0.35">
      <c r="B9" t="s">
        <v>68</v>
      </c>
      <c r="D9" t="s">
        <v>77</v>
      </c>
      <c r="H9" t="s">
        <v>67</v>
      </c>
      <c r="J9" t="s">
        <v>76</v>
      </c>
    </row>
    <row r="10" spans="1:10" x14ac:dyDescent="0.35">
      <c r="D10" t="s">
        <v>78</v>
      </c>
      <c r="H10" t="s">
        <v>68</v>
      </c>
      <c r="J10" t="s">
        <v>77</v>
      </c>
    </row>
    <row r="11" spans="1:10" x14ac:dyDescent="0.35">
      <c r="D11" t="s">
        <v>79</v>
      </c>
      <c r="J11" t="s">
        <v>78</v>
      </c>
    </row>
    <row r="12" spans="1:10" x14ac:dyDescent="0.35">
      <c r="D12" t="s">
        <v>80</v>
      </c>
      <c r="J12" t="s">
        <v>79</v>
      </c>
    </row>
    <row r="13" spans="1:10" x14ac:dyDescent="0.35">
      <c r="D13" t="s">
        <v>81</v>
      </c>
      <c r="J13" t="s">
        <v>80</v>
      </c>
    </row>
    <row r="14" spans="1:10" x14ac:dyDescent="0.35">
      <c r="J14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00_Case_Overview</vt:lpstr>
      <vt:lpstr>Interactive_Dashboard</vt:lpstr>
      <vt:lpstr>09_Dashboard</vt:lpstr>
      <vt:lpstr>02_Clean_Data</vt:lpstr>
      <vt:lpstr>01_Raw_Data</vt:lpstr>
      <vt:lpstr>03_Data_Dictionary</vt:lpstr>
      <vt:lpstr>04_PowerQuery_Steps</vt:lpstr>
      <vt:lpstr>05_Monthly_Revenue</vt:lpstr>
      <vt:lpstr>06_Regional_Perf</vt:lpstr>
      <vt:lpstr>07_Sales_by_Rep</vt:lpstr>
      <vt:lpstr>08_Top_Customers</vt:lpstr>
      <vt:lpstr>10_Insights</vt:lpstr>
      <vt:lpstr>FilterLists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Toheeb Abdulwaheed</cp:lastModifiedBy>
  <dcterms:created xsi:type="dcterms:W3CDTF">2026-09-30T10:22:20Z</dcterms:created>
  <dcterms:modified xsi:type="dcterms:W3CDTF">2026-10-01T20:13:37Z</dcterms:modified>
</cp:coreProperties>
</file>